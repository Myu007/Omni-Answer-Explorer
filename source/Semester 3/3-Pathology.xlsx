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Bank-2025-2026\1-Лето-2026\Students\"/>
    </mc:Choice>
  </mc:AlternateContent>
  <bookViews>
    <workbookView xWindow="0" yWindow="0" windowWidth="28800" windowHeight="11736" activeTab="1"/>
  </bookViews>
  <sheets>
    <sheet name="Specification" sheetId="4" r:id="rId1"/>
    <sheet name="Bank" sheetId="5" r:id="rId2"/>
    <sheet name="100-Template" sheetId="7"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05" i="7" l="1"/>
  <c r="B104" i="7"/>
  <c r="B103" i="7"/>
  <c r="B102" i="7"/>
  <c r="B101" i="7"/>
  <c r="B100" i="7"/>
  <c r="B99" i="7"/>
  <c r="B98" i="7"/>
  <c r="B97" i="7"/>
  <c r="B96" i="7"/>
  <c r="B95" i="7"/>
  <c r="B94" i="7"/>
  <c r="B93" i="7"/>
  <c r="B92" i="7"/>
  <c r="B91" i="7"/>
  <c r="B90" i="7"/>
  <c r="B89" i="7"/>
  <c r="B88" i="7"/>
  <c r="B87" i="7"/>
  <c r="B86" i="7"/>
  <c r="B85" i="7"/>
  <c r="B84" i="7"/>
  <c r="B83" i="7"/>
  <c r="B82" i="7"/>
  <c r="B81" i="7"/>
  <c r="B80" i="7"/>
  <c r="B79" i="7"/>
  <c r="B78" i="7"/>
  <c r="B77" i="7"/>
  <c r="B76" i="7"/>
  <c r="B75" i="7"/>
  <c r="B74" i="7"/>
  <c r="B73" i="7"/>
  <c r="B72" i="7"/>
  <c r="B71" i="7"/>
  <c r="B70" i="7"/>
  <c r="B69" i="7"/>
  <c r="B68" i="7"/>
  <c r="B67" i="7"/>
  <c r="B66" i="7"/>
  <c r="B65" i="7"/>
  <c r="B64" i="7"/>
  <c r="B63" i="7"/>
  <c r="B62" i="7"/>
  <c r="B61" i="7"/>
  <c r="B60" i="7"/>
  <c r="B59" i="7"/>
  <c r="B58" i="7"/>
  <c r="B57" i="7"/>
  <c r="B56" i="7"/>
  <c r="B55" i="7"/>
  <c r="B54" i="7"/>
  <c r="B53" i="7"/>
  <c r="B52" i="7"/>
  <c r="B51" i="7"/>
  <c r="B50" i="7"/>
  <c r="B49" i="7"/>
  <c r="B48" i="7"/>
  <c r="B47" i="7"/>
  <c r="B46" i="7"/>
  <c r="B45" i="7"/>
  <c r="B44" i="7"/>
  <c r="B43" i="7"/>
  <c r="B42" i="7"/>
  <c r="B41" i="7"/>
  <c r="B40" i="7"/>
  <c r="B39" i="7"/>
  <c r="B38" i="7"/>
  <c r="B37" i="7"/>
  <c r="B36" i="7"/>
  <c r="B35" i="7"/>
  <c r="B34" i="7"/>
  <c r="B33" i="7"/>
  <c r="B32" i="7"/>
  <c r="B31" i="7"/>
  <c r="B30" i="7"/>
  <c r="B29" i="7"/>
  <c r="B28" i="7"/>
  <c r="B27" i="7"/>
  <c r="B26" i="7"/>
  <c r="B25" i="7"/>
  <c r="B24" i="7"/>
  <c r="B23" i="7"/>
  <c r="B22" i="7"/>
  <c r="B21" i="7"/>
  <c r="B20" i="7"/>
  <c r="B19" i="7"/>
  <c r="B18" i="7"/>
  <c r="B17" i="7"/>
  <c r="B16" i="7"/>
  <c r="B15" i="7"/>
  <c r="B14" i="7"/>
  <c r="B13" i="7"/>
  <c r="B12" i="7"/>
  <c r="B11" i="7"/>
  <c r="B10" i="7"/>
  <c r="B9" i="7"/>
  <c r="B8" i="7"/>
  <c r="B7" i="7"/>
  <c r="B6" i="7"/>
  <c r="G52" i="4" l="1"/>
  <c r="F52" i="4"/>
  <c r="E52" i="4"/>
  <c r="C52" i="4"/>
  <c r="D52" i="4"/>
  <c r="H52" i="4" l="1"/>
</calcChain>
</file>

<file path=xl/sharedStrings.xml><?xml version="1.0" encoding="utf-8"?>
<sst xmlns="http://schemas.openxmlformats.org/spreadsheetml/2006/main" count="828" uniqueCount="622">
  <si>
    <t>Protective, adaptive and pathological reactions of the organism in various forms of hypoxia.</t>
  </si>
  <si>
    <t>Etiology and pathogenesis of hyperlipidemia, obesity, atherosclerosis.</t>
  </si>
  <si>
    <t>Etiology and pathogenesis of hypo- and hyperglycemic conditions. Types of insulin deficiency.</t>
  </si>
  <si>
    <t>Intracellular accumulations.</t>
  </si>
  <si>
    <t xml:space="preserve">Extracellular accumulations </t>
  </si>
  <si>
    <t>Hemodynamic disorders. Hyperemia, types. Etiopathogenesis and morphology.</t>
  </si>
  <si>
    <t>Hemodynamic disorders. Thrombosis. Etiopathogenesis and morphology.</t>
  </si>
  <si>
    <t>Hemodynamic disorders. Embolism. Etiopathogenesis and morphology.</t>
  </si>
  <si>
    <t>Hemodynamic disorders. Ischemia and Infarction. Etiopathogenesis and morphology. Mechanism of stasis.</t>
  </si>
  <si>
    <t>Hemodynamic disorders: hemorrhage. Etiopathogenesis and morphology.</t>
  </si>
  <si>
    <t>General pathology  of the infection process.</t>
  </si>
  <si>
    <t>Hypersensitivity I, II, III and IV types. Pathogenesis and morphology.</t>
  </si>
  <si>
    <t>Amyloidosis.</t>
  </si>
  <si>
    <t>Neoplasia. General pathology.</t>
  </si>
  <si>
    <t xml:space="preserve">Epithelial tumors. </t>
  </si>
  <si>
    <t>Mesenchymal tumors.</t>
  </si>
  <si>
    <t>A</t>
  </si>
  <si>
    <t>B</t>
  </si>
  <si>
    <t>C</t>
  </si>
  <si>
    <t>Typical microcirculation disorders during inflammation.</t>
  </si>
  <si>
    <t>Typical disorders of blood plasma proteins. Typical disorders of nitrogen balance.</t>
  </si>
  <si>
    <t>Primary immunodeficiency. Pathogenesis and morphology.</t>
  </si>
  <si>
    <t>Introduction to pathology. Methods of study of the pathological anatomy. Experimental methods in pathological physiology.</t>
  </si>
  <si>
    <t>General nosology, characteristic of disease periods. Term-typical pathological process. Main principles of pathogenesis study.</t>
  </si>
  <si>
    <t>Death. Classification. Types. Signs of clinical death.</t>
  </si>
  <si>
    <t>Cell injury: general information. Etiology and pathogenesis of typical cell injuries.</t>
  </si>
  <si>
    <t>Irreversible cell injury. Pathogenesis and morphology of Necrosis. Outcomes.</t>
  </si>
  <si>
    <t xml:space="preserve">Apoptosis. Pathogenesis and morphology. Difference between necrosis and apoptosis. </t>
  </si>
  <si>
    <t>Reversible cell injury. Pathogenesis and morphology.</t>
  </si>
  <si>
    <t>Homeostasis. Etiology and pathogenesis of acid-base balance disorders.</t>
  </si>
  <si>
    <t xml:space="preserve">Disorders of water-salt balance. Dehydration. Overhydration. </t>
  </si>
  <si>
    <t>Shock. Etiology and classification. Pathogenesis of different types of shock (compensation)</t>
  </si>
  <si>
    <t>Pathophysiology of Reactivity. Disorders of local and systemic defenses. Role of General Adaptation Syndrome in pathology.</t>
  </si>
  <si>
    <t>Pathology of phagocytosis and complement system, causes and consequences.</t>
  </si>
  <si>
    <t>Immune response. Mechanism of immune responses. Pathology of organs and cells of immune system.</t>
  </si>
  <si>
    <t>Experimental anaphylaxis, stages. Types of sensitization and desensitization. Anaphylactic shock.</t>
  </si>
  <si>
    <t>Autoimmunity. Isoimmunity. Transplant rejection. Graft-versus-host disease (GVHD), Host -versus- graft disease (HVGD).Pathogenesis and morphology.</t>
  </si>
  <si>
    <t>Secondary immunodeficiency. AIDS. Pathogenesis and morphology.</t>
  </si>
  <si>
    <t>Inflammation, etiology and pathogenesis. Stages, local and systemic signs of inflammation.</t>
  </si>
  <si>
    <t>Morphology of acute inflammation. Mechanism of exudation, types.</t>
  </si>
  <si>
    <t>Morphology of chronic inflammation. Mechanism of proliferation.</t>
  </si>
  <si>
    <t>Role of pyrogens. Pathogenesis of fever stages.</t>
  </si>
  <si>
    <t>Tissue repair. Pathogenesis. Morphology.</t>
  </si>
  <si>
    <t>Adaptation: metaplasia, dysplasia, anaplasia. Characteristics.</t>
  </si>
  <si>
    <t>Carcinogenesis. Pathology of tumor growth.</t>
  </si>
  <si>
    <t>Melanocytic tumors. Tumors of children.</t>
  </si>
  <si>
    <t>Pigmentations.Endogenous pigmentations</t>
  </si>
  <si>
    <t>Pathological calcification.</t>
  </si>
  <si>
    <t>Shock. Etiology and classification. Pathogenesis of different types of shock (decompensation). Morphological features.</t>
  </si>
  <si>
    <t>DIC – syndrome. Etiopathogenesis and morphology.</t>
  </si>
  <si>
    <t>PG-Pathology (3rd semester)</t>
  </si>
  <si>
    <t xml:space="preserve"> </t>
  </si>
  <si>
    <t>Hours</t>
  </si>
  <si>
    <t>Total questions</t>
  </si>
  <si>
    <t>Memorizing - 30%</t>
  </si>
  <si>
    <t>Understanding -50%</t>
  </si>
  <si>
    <t>Application - 20%</t>
  </si>
  <si>
    <t>PG.01.01</t>
  </si>
  <si>
    <t>PG.01.02</t>
  </si>
  <si>
    <t>PG.01.03</t>
  </si>
  <si>
    <t>PG.01.04</t>
  </si>
  <si>
    <t>PG.01.05</t>
  </si>
  <si>
    <t>PG.01.06</t>
  </si>
  <si>
    <t>PG.01.07</t>
  </si>
  <si>
    <t>PG.01.08</t>
  </si>
  <si>
    <t>PG.02.01</t>
  </si>
  <si>
    <t>PG.02.02</t>
  </si>
  <si>
    <t>PG.02.03</t>
  </si>
  <si>
    <t>PG.02.04</t>
  </si>
  <si>
    <t>PG.02.05</t>
  </si>
  <si>
    <t>PG.02.06</t>
  </si>
  <si>
    <t>PG.02.07</t>
  </si>
  <si>
    <t>PG.02.08</t>
  </si>
  <si>
    <t>PG.03.01</t>
  </si>
  <si>
    <t>PG.03.02</t>
  </si>
  <si>
    <t>PG.03.03</t>
  </si>
  <si>
    <t>PG.03.04</t>
  </si>
  <si>
    <t>PG.03.05</t>
  </si>
  <si>
    <t>PG.03.06</t>
  </si>
  <si>
    <t>PG.03.07</t>
  </si>
  <si>
    <t>PG.04.01</t>
  </si>
  <si>
    <t>PG.04.02</t>
  </si>
  <si>
    <t>PG.04.03</t>
  </si>
  <si>
    <t>PG.04.04</t>
  </si>
  <si>
    <t>PG.04.05</t>
  </si>
  <si>
    <t>PG.04.06</t>
  </si>
  <si>
    <t>PG.04.07</t>
  </si>
  <si>
    <t>PG.04.08</t>
  </si>
  <si>
    <t>PG.05.01</t>
  </si>
  <si>
    <t>PG.05.02</t>
  </si>
  <si>
    <t>PG.05.03</t>
  </si>
  <si>
    <t>PG.05.04</t>
  </si>
  <si>
    <t>PG.05.05</t>
  </si>
  <si>
    <t>PG.05.06</t>
  </si>
  <si>
    <t>PG.06.01</t>
  </si>
  <si>
    <t>PG.06.02</t>
  </si>
  <si>
    <t>PG.06.03</t>
  </si>
  <si>
    <t>PG.06.04</t>
  </si>
  <si>
    <t>PG.06.05</t>
  </si>
  <si>
    <t xml:space="preserve">Total: </t>
  </si>
  <si>
    <r>
      <t>Pigmentations. Exogenous pigmentations</t>
    </r>
    <r>
      <rPr>
        <b/>
        <sz val="10"/>
        <color rgb="FF000000"/>
        <rFont val="Times New Roman"/>
        <family val="1"/>
        <charset val="204"/>
      </rPr>
      <t xml:space="preserve"> </t>
    </r>
  </si>
  <si>
    <t>PG.03.08</t>
  </si>
  <si>
    <t>PG.05.07</t>
  </si>
  <si>
    <t>PG.05.08</t>
  </si>
  <si>
    <t>PG.06.06</t>
  </si>
  <si>
    <t>PG.06.07</t>
  </si>
  <si>
    <t>PG.06.08</t>
  </si>
  <si>
    <t xml:space="preserve">PG-Pathology-QUESTION BANK 1 sem       </t>
  </si>
  <si>
    <t xml:space="preserve">According to the code </t>
  </si>
  <si>
    <t>Correct option in every question is option 1 (A)</t>
  </si>
  <si>
    <t>in the specification</t>
  </si>
  <si>
    <t>D</t>
  </si>
  <si>
    <t>E</t>
  </si>
  <si>
    <t>S.no</t>
  </si>
  <si>
    <t>Unique code</t>
  </si>
  <si>
    <t>Code of the topic</t>
  </si>
  <si>
    <t>Level</t>
  </si>
  <si>
    <t>Question</t>
  </si>
  <si>
    <t>Option1</t>
  </si>
  <si>
    <t>Option2</t>
  </si>
  <si>
    <t>Option3</t>
  </si>
  <si>
    <t>Option4</t>
  </si>
  <si>
    <t>Option5</t>
  </si>
  <si>
    <t>Answers</t>
  </si>
  <si>
    <t xml:space="preserve">A </t>
  </si>
  <si>
    <t>А</t>
  </si>
  <si>
    <t>What is the term used for the mechanism of death?</t>
  </si>
  <si>
    <t>What does health criteria include?</t>
  </si>
  <si>
    <t>What do experimental modeling methods in pathophysiology include?</t>
  </si>
  <si>
    <t>Which sigh of death characterized by emptiness of arteries and overflowing veins with blood?</t>
  </si>
  <si>
    <t xml:space="preserve">B </t>
  </si>
  <si>
    <t>Which sign of biologic death which associated with hardning of muscles?</t>
  </si>
  <si>
    <t>Which statement is not true regarding cell damage caused by hypoxia?</t>
  </si>
  <si>
    <t>What human body organ or system damage can cause general oxygen deficiency –hypoxia, according to disorder of oxygen delivery to tissues?</t>
  </si>
  <si>
    <t>In cell injury, increased eosinophilia is due to?</t>
  </si>
  <si>
    <t xml:space="preserve">23-year-old male athlete who is practicing for his upcoming marathon felt chest discomfort during his practice which was relieved after few minutes of rest. Which is the following is false regarding the cell injury in this scenario? </t>
  </si>
  <si>
    <t>Which among the following is responsible for necrosis?</t>
  </si>
  <si>
    <t>What histologically signs of fatty changes are seen by light microscopy</t>
  </si>
  <si>
    <t>What the name of the cells accumulating fat within the intimal layer of aorta and large arteries in atherosclerotic plaques?</t>
  </si>
  <si>
    <t>A 48-year-old patient with glomerulonephritis has renal changes. Microscopically: pink formations in the form of drops in the epithelium of the kidney tubules. What pathological process developed in this case?</t>
  </si>
  <si>
    <t>What pathological process is characterized by derangements of glycogen metabolism?</t>
  </si>
  <si>
    <t>A 50-year-old patient suffering from hypertension died of cerebral hemorrhage. Microscopically revealed: the walls of the arterioles are thickened, represent a homogeneous mass of pink when stained with hematoxylin and eosin, the lumen of the vessels is narrowed. What type of dystrophy in this case?</t>
  </si>
  <si>
    <t>What are the main types of amyloidosis, and which genes or proteins are associated with their development?</t>
  </si>
  <si>
    <t>Accumulation of which pigment may leads to decrease of blood pressure?</t>
  </si>
  <si>
    <t>Which pigment derived from hemoglobin found in normal conditions?</t>
  </si>
  <si>
    <t>What is dystrophic calcification</t>
  </si>
  <si>
    <t>In Metastatic calcification, Serum Calcium levels are elevated and gets deposited in living tissues. An internal alkaline compo111ent is needed in the tissue for which the Metastatic calcification to happen.Which organ will not have metastatic calcification?</t>
  </si>
  <si>
    <t>ABG analysis of a patient reveals the following values: pC02 · 16 mm Hg; HC03 · 6 I mEq/L; and pH - 7 .1. What is the probable underlying acid-base disorder in this patient?</t>
  </si>
  <si>
    <t xml:space="preserve">A diabetic normotensive patient of Enterococcus faecalis sepsis, on intravenous Linezolid developed high anion gap metabolic acidosis with increased serum lactate and negative ketone. The acid base abnormality is most probably? </t>
  </si>
  <si>
    <t>Patient 52 years old suffered of cardiomyopathy was died of cardiopulmonary insufficiency. An autopsy revealed changes in the liver. Grossly: liver enlarged in size and weight, hard, with on cut surface – nutmeg appearance. Which type of hemodynamic disorders occurs in this case?</t>
  </si>
  <si>
    <t>Virchow’s triad is etiology of one of local circulation disorders which includes what one of following signs?</t>
  </si>
  <si>
    <t>A 71-year-old patient suffered from ischemic heart disease and was died from chronic heart failure. Microscopic examination of the heart revealed: in the branch of the left coronary artery thrombotic masses with proliferation of connective tissue in which channels covered with endothelial cells. Which outcome of thrombus occurs in this case?</t>
  </si>
  <si>
    <t>Which embolism may be the cause of a rare syndrome due to the entry of infected material into the systemic venous bloodstream and pulmonary arterial system?</t>
  </si>
  <si>
    <t>Characteristic of the infarction?</t>
  </si>
  <si>
    <t>What type of embolism may lead to generalization of the infection?</t>
  </si>
  <si>
    <t>Which term used for hemorrhage from respiratory system?</t>
  </si>
  <si>
    <t>A patient suffered of arterial hyprtension was suddenly died. An autopsy showed massive intracerebral hemorrhage in the right hemosphere of the brain What is the cause of the hemorrhage?</t>
  </si>
  <si>
    <t xml:space="preserve">A 20-year-old patient has profuse hemorrhage (2 L) as a result of trauma of the femoral artery. On admission to the hospital, revealed pale of the skin, a severe decrease of blood pressure (60/30 mm Hg). Which type of shock occurs in this case? </t>
  </si>
  <si>
    <t>In hypovolemic shock which organ should be assessed for determining under-perfusion?</t>
  </si>
  <si>
    <t>A 45-year-old male with severe sepsis secondary to pneumonia presents to the intensive care unit. Despite aggressive fluid resuscitation and broad-spectrum antibiotics, he develops ecchymoses, petechiae, and mucosal bleeding. Laboratory tests show prolonged activated partial thromboplastin time (aPTT), decreased fibrinogen levels, and schistocytes on peripheral blood smear. What is the most likely diagnosis?</t>
  </si>
  <si>
    <t>Which of these complement factor is a marker of humoral rejection?</t>
  </si>
  <si>
    <t>A 45-year-old male complains of chronic joint pain, stiffness, and swelling, particularly in his hands and wrists. He reports that the symptoms worsen in the morning and improve with movement throughout the day. What autoimmune disorder is most likely causing his symptoms?</t>
  </si>
  <si>
    <t xml:space="preserve">Local lymph nodules are enlarged near the infected wound. Increased amount of macrophages, lymphocytes, lymphatic follicles in the cortical layer and large amount of plasma cells were revealed on histological examinat ion. What process in the lymphatic nodules represent these histological changes? </t>
  </si>
  <si>
    <t>What is the process by which an individual becomes hypersensitive to a particular antigen upon initial exposure?</t>
  </si>
  <si>
    <t>A 45-year-old man presents with a history of seasonal exacerbations of asthma and allergic rhinitis. He reports worsening symptoms during the pollen season despite adherence to prescribed medications. Skin prick testing confirms sensitization to grass pollen. What lifestyle modification could help reduce his exposure to allergens and improve symptom control?</t>
  </si>
  <si>
    <t>A 5-month-old infant presents with recurrent fungal infections, particularly involving the skin, nails, and oral cavity. Laboratory tests show decreased levels of T lymphocytes. What primary immunodeficiency disorder is this patient likely suffering from?</t>
  </si>
  <si>
    <t>Rolling, adhesion, and transmigration occur by interactions between complementary adhesion molecules on leukocytes and endothelium. The expression of these adhesion molecules is enhanced by a mediator.  Which of these is not involved in this process?</t>
  </si>
  <si>
    <t>What is the of type of chronic inflammation?</t>
  </si>
  <si>
    <t>A 14-year-old child, suffering from rheumatism, was admitted to the clinic with complaints of pain in the region of the heart, high fever, shortness of breath. On the 2nd day of hospitalization, death occurred from heart failure. Grossly: the heart is flabby, hypertrophied. Microscopically: edema, hyperemia, blood vessels are surrounded with lymphocytes, histiocytes. What type of inflammation in this case?</t>
  </si>
  <si>
    <t>A 30-year-old female presents with fever, chills, and fatigue for the past three days. She recently recovered from a urinary tract infection treated with antibiotics. On examination, her temperature is 38.8°C (101.8°F), and she has warm, flushed skin. What is the most likely cause of her fever?</t>
  </si>
  <si>
    <t>Which type of bacterial toxin acts by stimulating the excessive release of cytokines?</t>
  </si>
  <si>
    <t>In what cases can we notice processes such as hyperplasia and hypertrophy?</t>
  </si>
  <si>
    <t>A 28-year-old woman experienced a decrease in the size of her immobilized leg after an injury. What term is used to refer to this pathology?</t>
  </si>
  <si>
    <t>Which organs lack permanent cells?</t>
  </si>
  <si>
    <t>A patient who died from a hemorrhagic insult. From the anamnesis: he had acute hepatitis 10 years ago. At autopsy, in addition to the changes characteristic of the basic disease, minimal changes in the liver were revealed. What is the recovery mechanism in this case?</t>
  </si>
  <si>
    <t>What the name of benign tumor arising from columnar epithelium?</t>
  </si>
  <si>
    <t>Which type of nevus often quite rich in melanin pigment</t>
  </si>
  <si>
    <t>If anabolism is more than catabolism what would it be means?</t>
  </si>
  <si>
    <t>Loss proteins with urine (proteinuria) typically leads to which one of following types of edema?</t>
  </si>
  <si>
    <t>Macrophages replete by exceeded cholesterol are converted to which one of these cells type?</t>
  </si>
  <si>
    <t>What symptom does not occur in diabetes mellitus?</t>
  </si>
  <si>
    <t xml:space="preserve">A 50-year-old patient with chronic renal failure underwent biopsy. When staining with Congo-Red, it was revealed: extracellular, homogeneous, structure less, masses, red color. What type of dystrophy in this case? </t>
  </si>
  <si>
    <t>Which outcome of thrombus is characteristic by dislodge and transport to other sites?</t>
  </si>
  <si>
    <t>A 63-year-old patient who suffered from myocardial infarction and died from  acute heart failure. During autopsy was revealed: defect of the wall of left ventricle and blood in the pericardial cavity. Which term is used for this type of hemorrhage?</t>
  </si>
  <si>
    <r>
      <t>A-</t>
    </r>
    <r>
      <rPr>
        <sz val="10"/>
        <color theme="1"/>
        <rFont val="Times New Roman"/>
        <family val="1"/>
        <charset val="204"/>
      </rPr>
      <t>memorizing</t>
    </r>
  </si>
  <si>
    <r>
      <t>B-</t>
    </r>
    <r>
      <rPr>
        <sz val="10"/>
        <color theme="1"/>
        <rFont val="Times New Roman"/>
        <family val="1"/>
        <charset val="204"/>
      </rPr>
      <t>understanding</t>
    </r>
  </si>
  <si>
    <r>
      <t>C-</t>
    </r>
    <r>
      <rPr>
        <sz val="10"/>
        <color theme="1"/>
        <rFont val="Times New Roman"/>
        <family val="1"/>
        <charset val="204"/>
      </rPr>
      <t>application</t>
    </r>
  </si>
  <si>
    <t>What is the term used for the cause of the disease?</t>
  </si>
  <si>
    <t>What is the term used for the mechanism of the disease?</t>
  </si>
  <si>
    <t>What does a typical pathological process include?</t>
  </si>
  <si>
    <t>What are the characteristics of typical pathological processes?</t>
  </si>
  <si>
    <t>Which sign of biologic death is associated with decrease of body temperature?</t>
  </si>
  <si>
    <t>How is called sign of biologic death which associated with enzymatic destruction of tissues?</t>
  </si>
  <si>
    <t>Which one of these characterizes changes in hypoxic cell injury?</t>
  </si>
  <si>
    <t>Which type of necrosis is characterized by formation of black, dry and shriveled necrotic area sharply demarcated from adjacent viable tissue?</t>
  </si>
  <si>
    <t>Which type of necrosis is characterized by formation swollen and reddish-black necrotic area with extensive liquefaction of dead tissue?</t>
  </si>
  <si>
    <t>In an 82-year-old patient who suffered from arterial hypertension and died from chronic heart failure, in addition to the characteristic changes of this disease, changes in the brain were found: the cavity, surrounded by a thin capsule and filled with serous fluid, size 1x1 sm. What outcome of necrosis occurs in this case?</t>
  </si>
  <si>
    <t>Apoptosis is regulated by a balance between?</t>
  </si>
  <si>
    <t>What substances are accumulated within parenchymal cells in steatosis?</t>
  </si>
  <si>
    <t>In which organ most common localization of fatty change?</t>
  </si>
  <si>
    <t>In a 58-year-old woman who died of chronic alcohol intoxication, an autopsy revealed enlarged liver, soft consistency, and a yellowish color. Microscopically: in hepatocytes, the nuclei are displaced to the periphery, and in the cytoplasm - clear spaces. What type of dystrophy in this case?</t>
  </si>
  <si>
    <t>At autopsy of a 57-year-old man, who had suffered from pulmonary tuberculosis for a long time, revealed kidney changes: enlarged, yellowish-gray, hard, waxy appearance. What pathological process in this case?</t>
  </si>
  <si>
    <t>What characterizes amyloidosis?</t>
  </si>
  <si>
    <t>Accumulation of which pigment may leads to jaundice?</t>
  </si>
  <si>
    <t>The biopsy was taken from a patient suffering from severe pain with swelling of the joints of the foot. Microscopically: the synovial membrane is infiltrated with lymphocytes, macrophages, cells of foreign bodies, and uric acid crystals are also found. What metabolic disorder typical for this pathology?</t>
  </si>
  <si>
    <t xml:space="preserve">Which pigment derived from hemoglobin found in pathologic conditions? </t>
  </si>
  <si>
    <t>What is the common cause of metastatic calcification?</t>
  </si>
  <si>
    <t>A 65-year-old woman from anamnesis suffered from tuberculosis. During autopsy revealed changes in lungs: area of tissue white  in color, hard . Which pathological process is described in this case?</t>
  </si>
  <si>
    <t>Which condition is characterized by an excess of hydrogen ions and a deficit of bicarbonate ions in the blood?</t>
  </si>
  <si>
    <t>A 65-year-old male with a history of chronic bronchitis presents to the emergency department with worsening dyspnea and confusion. On examination, he is tachypneic with shallow breathing. Arterial blood gas analysis reveals pH 7.32, PaCO2 60 mmHg, HCO3- 30 mEq/L. What is the most likely acid-base disorder?</t>
  </si>
  <si>
    <t>Hyponatremia is characterized by ?</t>
  </si>
  <si>
    <t>what is the causes of  local vacant hyperemia?</t>
  </si>
  <si>
    <t>Patient 63 years old suffered of rheumatic valvular disease, was died of cardiopulmonary insufficiency. At autopsy: the lungs are enlarged, heavy, brown in color, hard in consistency. Which type of hemodynamic disorders occurs in this case?</t>
  </si>
  <si>
    <t>Virchow’s triad is etiology of which one of local circulation disorders?</t>
  </si>
  <si>
    <t>A 73-year-old patient died of heart failure, suffered a myocardial infarction a 1 year ago. At autopsy: the postinfarction area is hard, thinned, whitish-grey with formation of aneurism. Thrombotic masses of reddish-white color, hard and smooth were found in the aneurism. What type of thrombus occurs in this case?</t>
  </si>
  <si>
    <t>Ischemia is local circulation disorder due to which one of following?</t>
  </si>
  <si>
    <t>If there are decreased tissue turgor and local temperature, which one of these local  circulation disorders is it?</t>
  </si>
  <si>
    <t xml:space="preserve">What is the name of hemorrhage with regular borders and destruction of tissue? </t>
  </si>
  <si>
    <t>A patient suffered of gastric ulcer was died of gastric hemorrhage. An autopsy showed chronic gastric ulcer in pyloric area and stomach and intestine filled with blood. What is the cause of the bleeding?</t>
  </si>
  <si>
    <t>Pulmonary embolism can cause which one of following types of shock?</t>
  </si>
  <si>
    <t>Autopsy of a 22-year-old man, patient decease from severe hemorrhage. Revealed pale of skin, inner organs and injury of inner organs typical for shock. Which type of shock is described in this case?</t>
  </si>
  <si>
    <t>What is the primary physiological goal of treatment in all types of shock?</t>
  </si>
  <si>
    <t>A 65-year-old male presents to the emergency department with chest pain and diaphoresis. His blood pressure is 80/50 mmHg, heart rate is 120 bpm, and oxygen saturation is 92% on room air. Electrocardiogram (ECG) shows ST-segment elevation in leads II, III, and aVF. Based on these findings, which type of shock is most likely occurring?</t>
  </si>
  <si>
    <t>A 60-year-old female presents to the emergency department with fever, purpura, and altered mental status. Laboratory tests reveal thrombocytopenia, prolonged prothrombin time (PT), and elevated D-dimer levels. She has a history of metastatic adenocarcinoma. What is the most likely diagnosis?</t>
  </si>
  <si>
    <t>What is the primary purpose of the local defense mechanisms in the body?</t>
  </si>
  <si>
    <t>A 28-year-old female presents with wheezing, shortness of breath, and swelling of the face and lips shortly after eating a peanut butter sandwich. What condition is she likely experiencing?</t>
  </si>
  <si>
    <t>What disorder is characterized by impaired phagocytosis by neutrophils?</t>
  </si>
  <si>
    <t>A 45-year-old male presents with recurrent bacterial infections, particularly involving the respiratory tract. Laboratory tests reveal decreased levels of complement proteins in his blood. What condition is he most likely suffering from?</t>
  </si>
  <si>
    <t>In desensitization therapy, what is the primary goal of gradually increasing allergen doses?</t>
  </si>
  <si>
    <t>A 30-year-old woman presents with recurrent episodes of nasal congestion, sneezing, and itchy eyes, especially during spring and fall seasons. She reports no relief from over-the-counter antihistamines. Skin prick testing reveals sensitization to tree pollen and dust mites. What intervention could provide long-term relief from her symptoms?</t>
  </si>
  <si>
    <t>Which mediator, released during Type 1 Hypersensitivity reactions, is primarily responsible for bronchoconstriction and difficulty breathing?</t>
  </si>
  <si>
    <t>What role does complement activation play in Type 3 Hypersensitivity reactions?</t>
  </si>
  <si>
    <t>Alex, a 30-year-old software developer, has recently moved into a new apartment. After a few weeks, Alex starts experiencing itchy eyes, sneezing, and nasal congestion, especially noticeable in the mornings and when spending time in the living room. Alex's symptoms seem to improve when away from the apartment for extended periods, such as during a weekend trip. Alex has no known allergies and has never experienced these symptoms before. What type of hypersensitivity might explain these symptoms?</t>
  </si>
  <si>
    <t>What autoimmune disorder is characterized by the immune system attacking the myelin sheath in the central nervous system?</t>
  </si>
  <si>
    <t>A 35-year-old female presents with fatigue, weight loss, hair loss, and heat intolerance. She also complains of palpitations and hand tremors. Physical examination reveals a diffuse goiter. Laboratory tests show elevated levels of thyroid peroxidase antibodies (TPOAb) and thyroglobulin antibodies (TgAb). What autoimmune disorder is she likely suffering from?</t>
  </si>
  <si>
    <t>Which primary immunodeficiency disorder is characterized by impaired production of immunoglobulins, leading to recurrent bacterial infections?</t>
  </si>
  <si>
    <t>A 7-year-old boy presents with recurrent bacterial infections, including otitis media, sinusitis, and pneumonia. He also has chronic diarrhea and failure to thrive. Laboratory tests reveal decreased levels of immunoglobulins (IgG, IgA, IgM). What primary immunodeficiency disorder is he likely suffering from?</t>
  </si>
  <si>
    <t>What is the primary function of prostaglandins in the process of inflammation?</t>
  </si>
  <si>
    <t>Mechanism of "calor" in inflammation is connected with which one of listed events?</t>
  </si>
  <si>
    <t>What of these is characteristic feature of inflammatory mediators such as cytokines?</t>
  </si>
  <si>
    <t>Which the local sign of inflammation associated with the accumulation of exudate?</t>
  </si>
  <si>
    <t>A 21-year-old patient suffering from pain in the forearm, swelling, redness. The disease is associated with trauma. When opening the surgical area of ​​the lesion, 50 ml of a thick turbid greenish liquid was released. What type inflammation in this case?</t>
  </si>
  <si>
    <t>Which cells are found in chronic inflammation?</t>
  </si>
  <si>
    <t>A 32-year-old female patient has formation in vulva. Microscopically: a branched tree-like proliferation of stratified squamous epithelium with a fibrous stroma. What type of inflammation in this case?</t>
  </si>
  <si>
    <t>Which term describes the ability of a microorganism to produce disease?</t>
  </si>
  <si>
    <t>Which term used for congenital incomplete development of thymus?</t>
  </si>
  <si>
    <t>The patient's right kidney was removed 10 years ago due to tumor. Ultrasound examination revealed increase in the size of the left kidney. What is the pathological process in this case?</t>
  </si>
  <si>
    <t>A 20-year-old man underwent surgery for appendicitis. Postoperative period without complications. How will the wound healing?</t>
  </si>
  <si>
    <t>What the name of benign tumor arising from squamous epithelium?</t>
  </si>
  <si>
    <t>What the name of benign tumor arising from brown fat?</t>
  </si>
  <si>
    <t>A 20-year-old patient had a tumor of the upper lip removed. Microscopic examination revealed that the tumor composed of thin-walled cavernous vascular spaces, filled partly or completely with blood; the vascular spaces are lined by flattened endothelial cells, filled with liquid blood. What type of tumor is there in this case?</t>
  </si>
  <si>
    <t>Negative nitrogen balance characterizes by which one of following conditions?</t>
  </si>
  <si>
    <t xml:space="preserve">Increased breakdown of proteins, which leads to hypoproteinemia, commonly is result of which one of listed? </t>
  </si>
  <si>
    <t>What is the primary risk factor for the development of hyperlipidemia?</t>
  </si>
  <si>
    <t>When there is damage of mixed micelles formation, which link of pathogenesis of lipid metabolism disorder can it be?</t>
  </si>
  <si>
    <t>What is  possible consequences in myocytes when is insulin deficiency in diabetes mellitus?</t>
  </si>
  <si>
    <t xml:space="preserve">Who from these scientists during their experimental work first indicated to role of endocrine pancreas in DM development? </t>
  </si>
  <si>
    <t>What is the characteristic sign of clinical death?</t>
  </si>
  <si>
    <t>Examination of the patient revealed: on the back of the right foot, the injured area is black, dry and wrinkled, sharply delimited from adjacent viable tissues. What type of necrosis does the patient have?</t>
  </si>
  <si>
    <t>When a diver undergoes decompression which types of emboli can presence in his blood?</t>
  </si>
  <si>
    <t>What is the term used for the mechanism of recovery?</t>
  </si>
  <si>
    <t>Which term is used for the designations of structural lesions in organs, tissues and cells?</t>
  </si>
  <si>
    <t>What characterizes a typical pathological process?</t>
  </si>
  <si>
    <t>What is the correct sequence of periods of illness?</t>
  </si>
  <si>
    <t>What is the correct definition of death?</t>
  </si>
  <si>
    <t>Which of  following mainly causes swelling of the cell in hypoxic cell injury?</t>
  </si>
  <si>
    <t xml:space="preserve">If patient has increased arterio-venous difference of O2, what is more probable reason for this type  of hypoxia? </t>
  </si>
  <si>
    <t>Which term is used for the condensation and shrinkage of DNA into solid mass?</t>
  </si>
  <si>
    <t xml:space="preserve">Which term is used for the fading of basophilia of chromatin due to digestion of DNA by DNAses activated by decrease pH? </t>
  </si>
  <si>
    <t>Which mechanism is typically associated with reversible cell injury?</t>
  </si>
  <si>
    <t>A patient with chronic alcohol abuse presents with abdominal pain and jaundice. Liver biopsy shows intracellular accumulation of lipid droplets in hepatocytes. Which cellular change is consistent with this finding?</t>
  </si>
  <si>
    <t>Which  type of necrosis  associated with formation of grey soft areas?</t>
  </si>
  <si>
    <t xml:space="preserve">What is the name of microscopic feature of necrosis characterized by condensation and shrinkage of DNA into a solid mass? </t>
  </si>
  <si>
    <t>Apoptosis can be triggered by ?</t>
  </si>
  <si>
    <t>Which cells can accumulate cholesterol and cholesterol esters in atherosclerotic plaque?</t>
  </si>
  <si>
    <t>In which organ occurs colloid degeneration?</t>
  </si>
  <si>
    <t xml:space="preserve">In a 65-year-old man who died of chronic heart failure, an autopsy revealed changes in the myocardium. Grossly: enlarged, soft consistency, expanded cavities, «tiger effect» in myocardium. Microscopically: in myocardium cells the nuclei are displaced to the periphery, and in the cytoplasm clear spaces. What type of dystrophy in this case? </t>
  </si>
  <si>
    <t>In a deceased woman of 50 years old, often suffering from angina, changes in the mitral valve were found: deformation, the edges of the valve with homogeneous, translucent, solid formations of a whitish-gray color. What type of dystrophy in this case?</t>
  </si>
  <si>
    <t>What the name of pathologic proteinaceous substance, accumulating only between cells in different tissues and organs of the body?</t>
  </si>
  <si>
    <t>Which disorders cause by generalized melanin hyperpigmentation?</t>
  </si>
  <si>
    <t>What is name of specific stain for diagnosis of calcification?</t>
  </si>
  <si>
    <t>A 55-year-old male with a history of chronic kidney disease presents with severe joint pain, especially in his shoulders and hips. He has difficulty moving and complains of stiffness. X-rays show calcification of the soft tissues around affected joints. What is the most likely cause of his symptoms?</t>
  </si>
  <si>
    <t>Which compensatory mechanism occurs in response to metabolic alkalosis?</t>
  </si>
  <si>
    <t>A 30-year-old female with a history of type 1 diabetes mellitus presents to the clinic complaining of deep, rapid breathing and fruity-smelling breath. Laboratory results show pH 7.25, PaCO2 32 mmHg, HCO3- 18 mEq/L, and elevated blood glucose levels. What is the most likely acid-base disorder?</t>
  </si>
  <si>
    <t>Overhydration can lead to a condition known as ?</t>
  </si>
  <si>
    <t>A 60-year-old female with a history of congestive heart failure presents with peripheral edema and shortness of breath. Laboratory tests show decreased serum sodium levels. What is the most likely mechanism responsible for the hyponatremia in this patient?</t>
  </si>
  <si>
    <t>If there are increased tissue turgor and local temperature, which one of these local  circulation disorders is it?</t>
  </si>
  <si>
    <t>Which one is the positive fate of thrombus in local circulation disorders?</t>
  </si>
  <si>
    <t>Which outcome of thrombosis is characteristic by ingrowth of connective tissue?</t>
  </si>
  <si>
    <t xml:space="preserve">What is the typical outcome of hemorrhagic infarction? </t>
  </si>
  <si>
    <t>What is the unfourable outcome of infarction?</t>
  </si>
  <si>
    <t xml:space="preserve">What is the term used for small (3-5 mm) hemorrhages into skin, mucous membranes or serosal surfaces?  </t>
  </si>
  <si>
    <t>Autopsy of a patient suffering from abdominal pains revealed: stomach cancer, stomach and intestines filled with blood. What is the cause of the hemorrhage in this case?</t>
  </si>
  <si>
    <t xml:space="preserve">When the development of shock includes following sequence of events such as absolute deficiency of intravascular  volume - heart ventricles low preload –low cardiac output, what type of shock is it? </t>
  </si>
  <si>
    <t>When the development of shock includes following sequence of events such as high afterload of heart - low cardiac output - decreased perfusion of tissues, what type of shock is it?</t>
  </si>
  <si>
    <t>A 45-year-old male is brought to the emergency department after a motor vehicle accident. He is unconscious and hypotensive, with a blood pressure of 70/40 mmHg, heart rate of 130 bpm, and diminished breath sounds on the left side of the chest. Chest X-ray reveals a large pneumothorax with mediastinal shift. Which type of shock is most likely occurring in this patient?</t>
  </si>
  <si>
    <t>A 25-year-old female presents to the emergency department with abdominal pain, hematuria, and neurologic deficits. She has a history of systemic lupus erythematosus (SLE). Laboratory tests show thrombocytopenia, elevated serum creatinine levels, and the presence of antiphospholipid antibodies. What is the most likely diagnosis?</t>
  </si>
  <si>
    <t>Which disorder is characterized by an exaggerated immune response to harmless substances?</t>
  </si>
  <si>
    <t>A 35-year-old male presents with weakness, increased thirst, frequent urination, and unexplained weight loss. Laboratory tests reveal high blood sugar levels and the presence of ketones in the urine. What autoimmune disorder is likely causing his symptoms?</t>
  </si>
  <si>
    <t>Which disorder is primarily characterized by impaired clearance of immune complexes due to deficient complement activity?</t>
  </si>
  <si>
    <t>A 30-year-old female presents with joint pain, skin rash, and fatigue. Laboratory tests show elevated levels of antinuclear antibodies and decreased complement levels. What autoimmune disorder is she likely experiencing?</t>
  </si>
  <si>
    <t xml:space="preserve">Which organ plays a key role in the development and maturation of immune system cells in humans?
</t>
  </si>
  <si>
    <t>If antibodies persist in blood for several weeks in experimental anaphylaxis, which stage is it characteristic feature for?</t>
  </si>
  <si>
    <t>What is the main difference between Type 4 Hypersensitivity and other types of hypersensitivity?</t>
  </si>
  <si>
    <t>Alex, a 30-year-old software developer, has recently moved into a new apartment. After a few weeks, Alex starts experiencing itchy eyes, sneezing, and nasal congestion, especially noticeable in the mornings and when spending time in the living room. Alex's symptoms seem to improve when away from the apartment for extended periods, such as during a weekend trip. Alex has no known allergies and has never experienced these symptoms before. What is a common environmental trigger for the symptoms experienced by Alex?</t>
  </si>
  <si>
    <t>What autoimmune disorder is characterized by the destruction of insulin-producing beta cells in the pancreas?</t>
  </si>
  <si>
    <t>A 40-year-old male presents with chronic diarrhea, abdominal pain, and unintentional weight loss. He also has oral ulcers and erythema nodosum. Laboratory tests show elevated levels of anti-Saccharomyces cerevisiae antibodies (ASCA). What autoimmune disorder is he likely suffering from?</t>
  </si>
  <si>
    <t>What primary immunodeficiency disorder is primarily characterized by impaired T-cell function, leading to susceptibility to viral, fungal, and opportunistic infections?</t>
  </si>
  <si>
    <t>A 30-year-old man presents with recurrent bacterial infections, especially pneumonia and skin abscesses. He also has granulomatous lesions in his lungs and lymph nodes. What primary immunodeficiency disorder is he likely suffering from?</t>
  </si>
  <si>
    <t>A 30-year-old man with a history of HIV infection presents with a new-onset headache, confusion, and difficulty concentrating. Lumbar puncture reveals an increased opening pressure and a slightly elevated protein level with normal glucose and cell count. Imaging shows periventricular white matter lesions. What is the most likely diagnosis?</t>
  </si>
  <si>
    <t>What is the term for the process of removing damaged tissue and cellular debris during the resolution phase of inflammation?</t>
  </si>
  <si>
    <t>Mechanism of "tumor" in inflammation is connected with which one of listed events?</t>
  </si>
  <si>
    <t>Vasodilation in inflammatory area is result of activity of which of listed factors?</t>
  </si>
  <si>
    <t xml:space="preserve">What is the name of type of acute inflammation which associated with formation of hair-like deposits? </t>
  </si>
  <si>
    <t>Opening of the abdominal cavity revealed enlarged, tense appendix. The serous membrane of the appendix is faded, grayish-green, with dilated vessels. The wall of the appendix is ​​sharply thinned, flabby, in the cavity of the appendix: large amount greenish mass. What type inflammation in this case?</t>
  </si>
  <si>
    <t>How do endogenous pyrogens induce fever?</t>
  </si>
  <si>
    <t>A 40-year-old male presents with fever, cough, and shortness of breath. He has a history of chronic obstructive pulmonary disease (COPD) and recurrent respiratory tract infections. On examination, there are coarse crackles in his lungs. What is the likely cause of his fever?</t>
  </si>
  <si>
    <t>Among protozoan parasites, which one primarily infects red blood cells and causes cyclic fever patterns?</t>
  </si>
  <si>
    <t>Which type of viral entry mechanism involves the fusion of the viral envelope with the host cell membrane, allowing the nucleocapsid to enter the cell?</t>
  </si>
  <si>
    <t>What term is used to mean the replacement of one type of adult cells (epithelial or mesenchymal) with adult cells of another type?</t>
  </si>
  <si>
    <t>A patient who underwent a course of treatment for skin cancer, after 5 years, skin defects in the form of ulcers reappeared. A skin biopsy was taken. Microscopically: atypical cells with numerous mitotic figures were found. What pathological process has developed in this case?</t>
  </si>
  <si>
    <t>Which histologic type of adenoma arise from ducts?</t>
  </si>
  <si>
    <t>What the name benign tumor arising from striated muscles?</t>
  </si>
  <si>
    <t>On histological examination of the eyeball in the retina in the projection of the optic nerve, a tumor 1 x 1 cm, hard consistency, brown. Microscopically, the tumor consists of polymorphic cells with clear cytoplasm, grouped into alveolar structures, with the presence of pathological mitoses, in places with the accumulation of brown pigment. What type of tumor is there in this case?</t>
  </si>
  <si>
    <t>Negative nitrogen balance is observed when is which one of these?</t>
  </si>
  <si>
    <t>If azotemia is characterized by elevation of ammonia component in BUN it could means which one of these pathologies?</t>
  </si>
  <si>
    <t>When there is damage of simple micelles formation, which link of pathogenesis of lipid metabolism disorder can it be?</t>
  </si>
  <si>
    <t>Which of lipoproteins contain 50% of proteins in their structure that is important for prevention of atherosclerosis development?</t>
  </si>
  <si>
    <t>Indicate which one of following relates to mechanisms of hyperglycemia in diabetes mellitus?</t>
  </si>
  <si>
    <t>Who from these scientists firstly found out insulin production in beta cells of pancreas?</t>
  </si>
  <si>
    <t>PG1.01.01</t>
  </si>
  <si>
    <t>PG1.01.02</t>
  </si>
  <si>
    <t>PG1.01.03</t>
  </si>
  <si>
    <t>PG1.01.04</t>
  </si>
  <si>
    <t>PG1.01.05</t>
  </si>
  <si>
    <t>PG1.01.06</t>
  </si>
  <si>
    <t>PG1.01.07</t>
  </si>
  <si>
    <t>PG1.01.08</t>
  </si>
  <si>
    <t>PG1.02.01</t>
  </si>
  <si>
    <t>PG1.02.02</t>
  </si>
  <si>
    <t>PG1.02.03</t>
  </si>
  <si>
    <t>PG1.02.04</t>
  </si>
  <si>
    <t>PG1.02.05</t>
  </si>
  <si>
    <t>PG1.02.06</t>
  </si>
  <si>
    <t>PG1.02.07</t>
  </si>
  <si>
    <t>PG1.02.08</t>
  </si>
  <si>
    <t>PG1.03.01</t>
  </si>
  <si>
    <t>PG1.03.02</t>
  </si>
  <si>
    <t>PG1.03.03</t>
  </si>
  <si>
    <t>PG1.03.04</t>
  </si>
  <si>
    <t>PG1.03.05</t>
  </si>
  <si>
    <t>PG1.03.06</t>
  </si>
  <si>
    <t>PG1.03.07</t>
  </si>
  <si>
    <t>PG1.03.08</t>
  </si>
  <si>
    <t>PG1.04.01</t>
  </si>
  <si>
    <t>PG1.04.02</t>
  </si>
  <si>
    <t>PG1.04.03</t>
  </si>
  <si>
    <t>PG1.04.04</t>
  </si>
  <si>
    <t>PG1.04.05</t>
  </si>
  <si>
    <t>PG1.04.06</t>
  </si>
  <si>
    <t>PG1.04.07</t>
  </si>
  <si>
    <t>PG1.04.08</t>
  </si>
  <si>
    <t>PG1.05.01</t>
  </si>
  <si>
    <t>PG1.05.02</t>
  </si>
  <si>
    <t>PG1.05.03</t>
  </si>
  <si>
    <t>PG1.05.04</t>
  </si>
  <si>
    <t>PG1.05.05</t>
  </si>
  <si>
    <t>PG1.05.06</t>
  </si>
  <si>
    <t>PG1.05.07</t>
  </si>
  <si>
    <t>PG1.05.08</t>
  </si>
  <si>
    <t>PG1.06.01</t>
  </si>
  <si>
    <t>PG1.06.02</t>
  </si>
  <si>
    <t>PG1.06.03</t>
  </si>
  <si>
    <t>PG1.06.04</t>
  </si>
  <si>
    <t>PG1.06.05</t>
  </si>
  <si>
    <t>PG1.06.06</t>
  </si>
  <si>
    <t>PG1.06.07</t>
  </si>
  <si>
    <t>PG1.06.08</t>
  </si>
  <si>
    <t>Which staining method is most commonly used in the routine microscopic examination of tissues?</t>
  </si>
  <si>
    <t>Who is considered the “Father of Modern Pathology”?</t>
  </si>
  <si>
    <t>In hypoxic cell injury, which organelle is the initial target?</t>
  </si>
  <si>
    <t>Which nuclear change is correctly matched with its description?</t>
  </si>
  <si>
    <t>A 60-year-old man with long-standing hypertension dies suddenly. Autopsy shows bright eosinophilic, fibrin-like material in arteriolar walls. Which is the likely diagnosis?</t>
  </si>
  <si>
    <t>During ischemic injury, which event most strongly commits the cell to irreversible damage?</t>
  </si>
  <si>
    <t>A 55-year-old chronic alcoholic presents with hepatomegaly. The liver biopsy shows clear vacuoles in the cytoplasm that displace the nucleus to the periphery. What is the most likely substance accumulated?</t>
  </si>
  <si>
    <t>A patient with rheumatoid arthritis develops palpable nodules at the elbow. Histology reveals central fibrinoid necrosis surrounded by histiocytes. What type of extracellular accumulation is responsible?</t>
  </si>
  <si>
    <t>A 65-year-old male presents with chronic renal failure and secondary hyperparathyroidism. Autopsy shows calcification of the alveolar walls and renal tubular basement membranes. What is the mechanism?</t>
  </si>
  <si>
    <t>A 70-year-old man presents with restrictive cardiomyopathy. Congo-red stain of the endomyocardial biopsy shows apple-green birefringence under polarized light. What is the most likely material deposited extracellularly?</t>
  </si>
  <si>
    <t>β₂-microglobulin amyloidosis is most likely to occur in which clinical setting?</t>
  </si>
  <si>
    <t>Which organ is most commonly involved in systemic amyloidosis leading to major clinical manifestations?</t>
  </si>
  <si>
    <t>A 55-year-old man with multiple myeloma develops proteinuria. Renal biopsy reveals Congo-red–positive deposits in glomeruli. What is the origin of the amyloid protein in this patient?</t>
  </si>
  <si>
    <t>A patient with long-standing rheumatoid arthritis develops nephrotic syndrome. Kidney biopsy shows amorphous eosinophilic extracellular deposits in glomeruli that are Congo-red positive. Which type of amyloid protein is most likely involved?</t>
  </si>
  <si>
    <t>A 65-year-old man presents with restrictive cardiomyopathy. Congo-red staining of the endomyocardial biopsy shows apple-green birefringence under polarized light. What is the biochemical nature of the material deposited?</t>
  </si>
  <si>
    <t>A newborn develops severe jaundice. The yellow discoloration of tissues is due to accumulation of which pigment?</t>
  </si>
  <si>
    <t>A 70-year-old man’s heart appears brown and shrunken at autopsy. Microscopy shows fine, yellow-brown perinuclear granules. What is the most likely pigment?</t>
  </si>
  <si>
    <t>A 25-year-old woman develops multiple café-au-lait spots. These macules are caused by increased deposition of which endogenous pigment?</t>
  </si>
  <si>
    <t>Chronic exposure to silver dust in industrial workers leads to diffuse gray-blue skin pigmentation. What is this condition called?</t>
  </si>
  <si>
    <t>A 60-year-old coal miner’s lung appears black on autopsy. Histology shows macrophages laden with coarse black pigment in the peribronchial lymphatics. What is the pigment responsible?</t>
  </si>
  <si>
    <t>A young woman with hyperventilation due to anxiety develops dizziness and tingling in her fingers. What is the expected arterial blood gas (ABG) finding?</t>
  </si>
  <si>
    <t>A 50-year-old man with chronic obstructive pulmonary disease (COPD) develops respiratory acidosis. What is the primary disturbance in this condition?</t>
  </si>
  <si>
    <t>A patient with syndrome of inappropriate ADH secretion (SIADH) develops lethargy and confusion. Serum sodium is low and urine is concentrated. What is the best description of his water-salt disorder?</t>
  </si>
  <si>
    <t>A postoperative patient receives excessive hypotonic glucose infusions. He becomes confused and develops seizures. Which type of water-salt imbalance best explains this?</t>
  </si>
  <si>
    <t>A 35-year-old man presents with chronic diarrhea and recurrent pneumonia. ELISA for HIV is positive. The causative virus primarily infects which type of immune cells?</t>
  </si>
  <si>
    <t>Which mediator is primarily responsible for increased vascular permeability in acute inflammation?</t>
  </si>
  <si>
    <t>Which enzyme system in phagocytes generates reactive oxygen species (ROS) for bacterial killing?</t>
  </si>
  <si>
    <t>What causes leukocyte margination during microcirculatory changes in inflammation?</t>
  </si>
  <si>
    <t>Persistent stasis of blood flow during severe inflammation may lead to which secondary microvascular complication?</t>
  </si>
  <si>
    <t>Which mechanism is responsible for direct endothelial injury leading to prolonged vascular leakage?</t>
  </si>
  <si>
    <t>A 40-year-old man develops severe chest pain 3 days after a myocardial infarction. Autopsy reveals a “bread-and-butter” appearance of the pericardial surface. Which type of exudate is responsible?</t>
  </si>
  <si>
    <t>Which cytokine is primarily responsible for macrophage activation in chronic inflammation?</t>
  </si>
  <si>
    <t>During the proliferative phase of chronic inflammation, which cell type is most responsible for collagen deposition?</t>
  </si>
  <si>
    <t>Which mediator acts as the final common pathway in fever generation within the hypothalamus?</t>
  </si>
  <si>
    <t>In the onset (rising) phase of fever, which physiologic mechanism predominates?</t>
  </si>
  <si>
    <t>During the defervescence (fall) phase of fever, which change occurs?</t>
  </si>
  <si>
    <t>Which feature is most characteristic of anaplasia?</t>
  </si>
  <si>
    <t>Which microscopic feature distinguishes dysplasia from metaplasia?</t>
  </si>
  <si>
    <t>Which branch of pathology deals with structural changes in tissues and organs caused by disease?</t>
  </si>
  <si>
    <t>What is the main purpose of performing an autopsy in pathology?</t>
  </si>
  <si>
    <t>What does nosology deal with in pathology?</t>
  </si>
  <si>
    <t>What is the period during which a disease first begins to produce nonspecific symptoms such as malaise or mild fever called?</t>
  </si>
  <si>
    <t>What does the latent period of a disease refer to?</t>
  </si>
  <si>
    <t>What is the stage of a disease in which clinical symptoms reach their maximum severity called?</t>
  </si>
  <si>
    <t>What is the earliest reliable sign of clinical death?</t>
  </si>
  <si>
    <t>What is the defining characteristic of brain death, a type of somatic death?</t>
  </si>
  <si>
    <t>What distinguishes biological (somatic) death from clinical death?</t>
  </si>
  <si>
    <t>What is the usual time window for successful resuscitation during clinical death?</t>
  </si>
  <si>
    <t>What is the main pathological mechanism responsible for myocardial cell injury during severe hypoxia?</t>
  </si>
  <si>
    <t>What is the most reversible cellular change seen during acute hypoxic conditions?</t>
  </si>
  <si>
    <t>What is the primary mechanism by which ischemia causes cellular injury?</t>
  </si>
  <si>
    <t>What is the earliest morphological change observed in reversible cell injury?</t>
  </si>
  <si>
    <t>In which organ is fatty change (steatosis) most characteristically seen as a form of reversible cell injury?</t>
  </si>
  <si>
    <t>What is the cause of cytoplasmic eosinophilia observed in reversible cell injury?</t>
  </si>
  <si>
    <t>What is the hallmark morphological feature of necrosis?</t>
  </si>
  <si>
    <t>Coagulative necrosis is most commonly associated with infarction of which type of tissue?</t>
  </si>
  <si>
    <t>Liquefactive necrosis most typically occurs in infarction of which organ?</t>
  </si>
  <si>
    <t>What is the hallmark morphological feature of apoptosis?</t>
  </si>
  <si>
    <t>What is the key feature that differentiates apoptosis from necrosis?</t>
  </si>
  <si>
    <t>Apoptotic cell death is a key mechanism in all of the following EXCEPT which condition?</t>
  </si>
  <si>
    <t>What is lipofuscin, the so-called “wear-and-tear” pigment, best described as?</t>
  </si>
  <si>
    <t>What do Russell bodies in plasma cells represent an accumulation of?</t>
  </si>
  <si>
    <t>In atherosclerotic plaques, foam cells are macrophages that have accumulated what substance?</t>
  </si>
  <si>
    <t>What do Mallory–Denk bodies in alcoholic liver disease represent an intracellular accumulation of?</t>
  </si>
  <si>
    <t>What is the composition of the golden-brown perinuclear granules seen in the myocardium of an elderly patient at autopsy?</t>
  </si>
  <si>
    <t>What is the mechanism responsible for macrovesicular fatty change in hepatocytes, characterized by peripheral displacement of the nucleus, in a patient with long-standing alcoholism?</t>
  </si>
  <si>
    <t>Which toxic exposure is most consistent with tremors, mood changes, and bluish gingival pigmentation in a 45-year-old painter?</t>
  </si>
  <si>
    <t>What is the nature of the gray-black pigmentation of the skin and cornea seen in a patient treated with quinacrine and chloroquine for chronic malaria?</t>
  </si>
  <si>
    <t>Which feature differentiates metastatic calcification from dystrophic calcification?</t>
  </si>
  <si>
    <t>Which tissues are most commonly affected by calcium deposition in metastatic calcification?</t>
  </si>
  <si>
    <t>Which pathological process is indicated by basophilic granular deposits forming gritty, hard nodules on aortic valve leaflets in a 60-year-old patient with aortic stenosis?</t>
  </si>
  <si>
    <t>Which cellular event is considered the major feature of acute inflammation?</t>
  </si>
  <si>
    <t>Which factors primarily mediate the systemic acute-phase response during inflammation?</t>
  </si>
  <si>
    <t>Which type of inflammation is indicated by activated macrophages with epithelioid appearance, surrounded by lymphocytes and giant cells on biopsy?</t>
  </si>
  <si>
    <t>Which factor is primarily responsible for the redness and warmth observed at an inflamed site?</t>
  </si>
  <si>
    <t>Which vascular structures are the main site of increased permeability during acute inflammation?</t>
  </si>
  <si>
    <t>Which sequence of microcirculatory events accurately represents the process of acute inflammation?</t>
  </si>
  <si>
    <t>Which vascular event is primarily responsible for exudation in acute inflammation?</t>
  </si>
  <si>
    <t>Which blood vessels exhibit endothelial contraction leading to gap formation during exudation?</t>
  </si>
  <si>
    <t>Which feature is considered the hallmark of chronic inflammation?</t>
  </si>
  <si>
    <t>Which factor drives the transformation of macrophages into epithelioid cells in granulomatous inflammation?</t>
  </si>
  <si>
    <t>Which endogenous pyrogens are primarily responsible for inducing fever?</t>
  </si>
  <si>
    <t>Which region of the brain houses the thermoregulatory center responsible for fever generation?</t>
  </si>
  <si>
    <t>Which components of the body provide the first line of defense against infection?</t>
  </si>
  <si>
    <t>Which term describes an organism’s ability to cause disease after entering the host?</t>
  </si>
  <si>
    <t>Which mechanism is primarily responsible for the action of bacterial endotoxins (lipopolysaccharides)?</t>
  </si>
  <si>
    <t>Which morphologic feature is considered the hallmark of bacterial infections in tissues?</t>
  </si>
  <si>
    <t>Which feature is not typically included in the viral cytopathic effects (CPE) observed in infected cells?</t>
  </si>
  <si>
    <t>Which type of metaplasia is most commonly observed in the bronchi of chronic smokers?</t>
  </si>
  <si>
    <t>Which growth factor primarily drives fibroblast proliferation and collagen deposition during tissue repair?</t>
  </si>
  <si>
    <t>Which sequence of events accurately describes tissue repair through fibrosis?</t>
  </si>
  <si>
    <t>If blood examination shows hypocapnia, which type of hypoxia is most likely?</t>
  </si>
  <si>
    <t>What mediates the nuclear changes seen in a cell during apoptosis?</t>
  </si>
  <si>
    <t>What is the classification of necrosis based on the mechanism of action of the etiologic factor?</t>
  </si>
  <si>
    <t>Which cells continue to multiply throughout life under normal physiologic conditions?</t>
  </si>
  <si>
    <t>What type of tumor growth is suggested by a pedunculated 1.5 cm lesion on the lesser curvature seen on gastroscopy?</t>
  </si>
  <si>
    <t>What is the term used for the spread of malignant tumors through the bloodstream?</t>
  </si>
  <si>
    <t>What is a benign tumor arising from melanocyte cells called?</t>
  </si>
  <si>
    <t>What is the main difference between slowly dividing and rapidly dividing cells?</t>
  </si>
  <si>
    <t>What is the term used for tumor growth without a well-defined or regular border?</t>
  </si>
  <si>
    <t>What is the term used for tumor growth into the wall of a hollow organ?</t>
  </si>
  <si>
    <t>What is the tumor called when histology shows large round or oval cells with eosinophilic granular cytoplasm and occasional cross-striations?</t>
  </si>
  <si>
    <t>What is the term used for an embryonic tumor arising from embryonic tissues?</t>
  </si>
  <si>
    <t>At 22-year-old patient has photosensitivity of skin, massive enlargement of liver with severe abdominal pain, red color of urine. What pigment exchange disorder is there in this case?</t>
  </si>
  <si>
    <t>Microscopic examination of thyroid gland biopsy revealed changes in the structure of the gland: a well-differentiated epithelium of the glands with few mitoses and consist of groups of cells. Which type of adenoma occurs in this case</t>
  </si>
  <si>
    <t>At 76-year-old patient has yellowness of the skin, intensely colored urine and discolored feces. Examination revealed a tumor of the common bile duct obturating its lumen. What pigment exchange disorder is there in this case?</t>
  </si>
  <si>
    <t>A woman of Asian ethnicity has a 0.5x0.3 cm dark node, elevated above the skin, with a smooth surface. Microscopic examination shows dendritic cells with high melanin content. Which type of tumor occurs in this case?</t>
  </si>
  <si>
    <t>The young athlete died suddenly. An autopsy revealed an increase in the weight of the heart (650.0 grams); an increase in its size (12.0 x 12.0 x 10.0 cm); thickening of the left ventricle wall (2.0 cm). the myocardium is flabby, pale red. The heart cavities are enlarged. Which is the pathological process in this case?</t>
  </si>
  <si>
    <t>Which scientists coined the term cellular pathology?</t>
  </si>
  <si>
    <t xml:space="preserve">Which is involved in recognition and clearance of necrotic cells? </t>
  </si>
  <si>
    <t>Which best describes the consequence of reversible cell injury?</t>
  </si>
  <si>
    <t>Which conditions are causes of coagulative necrosis?</t>
  </si>
  <si>
    <t>A chest X-ray reveals findings "consistent with a Ghon complex." Sputum cultures grow acid-fast bacilli. Examination of hilar lymph nodes in this patient would most likely demonstrate Which pathologic changes?</t>
  </si>
  <si>
    <t>Which is a true statement about apoptosis?</t>
  </si>
  <si>
    <t>Which staining methods is not used for amyloidosis?</t>
  </si>
  <si>
    <t>Which is the underlying cause of the perinuclear brown pigment seen on histopathological examination of cardiac tissue in an 83-year-old thin-built male who presented unconscious with pulselessness, unrecordable blood pressure, GCS 3/15, and ECG showing a flat line in all leads?</t>
  </si>
  <si>
    <t>Which electrolytes is primarily regulated by aldosterone?</t>
  </si>
  <si>
    <t>In Which conditions is decreased colloidal osmotic pressure the main cause of edema?</t>
  </si>
  <si>
    <t>Which features characterizes cyanotic induration of the kidney?</t>
  </si>
  <si>
    <t xml:space="preserve">Which is the most common cause of pulmonary embolism?
</t>
  </si>
  <si>
    <t xml:space="preserve">Which is the most common type of shock: </t>
  </si>
  <si>
    <t>Which is the most common feature of polytrauma in the pediatric age group?</t>
  </si>
  <si>
    <t>Which does not apply to DIC syndrome?</t>
  </si>
  <si>
    <t>Which is secreted by classically activated macrophages (M1 )?</t>
  </si>
  <si>
    <t>Which processes is a specific form of endocytosis involving vesicular internalization of solid particles such as bacteria, apoptotic cells, and viruses, and is a common function of neutrophils, monocytes, and macrophages?</t>
  </si>
  <si>
    <t>Which cells is the main source of antigens for activation of the immune system?</t>
  </si>
  <si>
    <t>Which is a marker of T lymphocytes?</t>
  </si>
  <si>
    <t xml:space="preserve">Which is a Type 2 Hypersensitivity reaction? </t>
  </si>
  <si>
    <t xml:space="preserve">A 20-year-old woman with a history of asthma and allergies undergoes skin testing to identify potential allergens in her environment. A positive skin reaction to ragweed in this patient would be mediated by Which classes of immunoglobulin? </t>
  </si>
  <si>
    <t>Which organs is not involved in acute graft versus host disease</t>
  </si>
  <si>
    <t>A 52-year-old woman with a history of systemic hypertension and chronic renal failure undergoes kidney transplantation, but the graft fails to produce urine. A renal biopsy is diagnosed as "hyperacute transplant rejection." Graft rejection in this patient is caused primarily by Which mediators of immunity and inflammation?</t>
  </si>
  <si>
    <t>Which are components of innate immunity?</t>
  </si>
  <si>
    <t>Which is the most common malignancy seen in patients with Acquired Immunodeficiency Syndrome?</t>
  </si>
  <si>
    <t>A 31 -year-old man with AIDS complains of difficulty in swallowing. Examination of his oral cavity demonstrates whitish membranes covering much of his tongue and palate. Endoscopy also reveals several whitish, ulcerated lesions in the esophagus. These pathologic findings are fundamentally caused by loss of Which immune cells in this patient?</t>
  </si>
  <si>
    <t>Which mechanisms explains how Toll-like receptors recognize bacterial products and stimulate the immune response?</t>
  </si>
  <si>
    <t xml:space="preserve"> In an inflammatory response, Which are involved in the recognition of the microbes or damaged cells?</t>
  </si>
  <si>
    <t>A 45-year-old male complains of a burning sensation while urinating and increased urinary frequency. On examination, there is tenderness over the suprapubic area and dysuria. Urinalysis reveals leukocyte esterase and nitrites. Which is the most likely diagnosis?</t>
  </si>
  <si>
    <t>Which statements is false about transudate?</t>
  </si>
  <si>
    <t>Which statements does not apply to acute inflammation?</t>
  </si>
  <si>
    <t>Which are the major components of acute inflammation?</t>
  </si>
  <si>
    <t>Which enzymes primarily mediates the release of arachidonic acid from membrane phospholipids?</t>
  </si>
  <si>
    <t>Which bacterial virulence factors directly inhibits phagocytosis by preventing the fusion of lysosomes with phagosomes?</t>
  </si>
  <si>
    <t>Which conditions is characterized by anaplasia as a hallmark feature?</t>
  </si>
  <si>
    <t xml:space="preserve">All tumors with invasive properties metastasize(A). Reason (R): The invasive property of the tumor permits them to penetrate into blood vessels or lymphatics, thus allowing them to spread to distant sites. Which statements is true? </t>
  </si>
  <si>
    <t xml:space="preserve">Increased risk of cancer is seen in Which? </t>
  </si>
  <si>
    <t xml:space="preserve">Which is/are induced by LMP-1 gene plays a role in oncogenesis? 1. Human T cell leukemia virus type 1. 2. Hepatitis B Virus 3. Epstein Barr virus 4. Human Papilloma Virus </t>
  </si>
  <si>
    <t>Which statements is not true about adenomas?</t>
  </si>
  <si>
    <t>Which is a disorganized but benign mass composed of cells indigenous to the involved site?</t>
  </si>
  <si>
    <t>Which is not a characteristics of 'Dysplastic naevi' ?</t>
  </si>
  <si>
    <t>Which is a characteristic feature of obesity?</t>
  </si>
  <si>
    <t>Which is not found in diabetes</t>
  </si>
  <si>
    <t>Which events characterizes reversible cell injury?</t>
  </si>
  <si>
    <t>A patient presents with abdominal pain and elevated liver enzymes. Imaging reveals hepatic steatosis. Which cellular changes is most likely associated with this condition?</t>
  </si>
  <si>
    <t>Which is a characteristic feature of apoptosis under a microscope?</t>
  </si>
  <si>
    <t>Mallory bodies is seen in Which?</t>
  </si>
  <si>
    <t>A 45-year-old male presents to the emergency department with weakness, confusion, and seizures. Laboratory tests reveal serum sodium levels of 115 mEq/L. Which conditions is the most likely cause of his symptoms?</t>
  </si>
  <si>
    <t>Which conditions is most commonly associated with the development of DIC?</t>
  </si>
  <si>
    <t xml:space="preserve">Which types of lymphocytes is responsible for antibody production and is involved in the adaptive immune response?
</t>
  </si>
  <si>
    <t xml:space="preserve">Which is the most important factor for activation of the immune system in response to infection?
</t>
  </si>
  <si>
    <t>Which is a characteristic histopathological finding in AIDS-related Kaposi's sarcoma?</t>
  </si>
  <si>
    <t>A 45-year-old man presents with recurrent bacterial pneumonia, chronic diarrhea, and oral thrush. He has a history of intravenous drug use. Which is the most likely cause of his symptoms?</t>
  </si>
  <si>
    <t>Which is a type of pro-inflammatory cytokine involved in the pathogenesis of chronic inflammatory diseases?</t>
  </si>
  <si>
    <t>A 32-year-old female presents to the emergency department with a swollen and painful right ankle. She reports twisting her ankle while running earlier today. On examination, the ankle is warm to touch, swollen, and tender. Which is the most likely diagnosis?</t>
  </si>
  <si>
    <t>Which is an example of an endogenous pyrogen?</t>
  </si>
  <si>
    <t>A 45-year-old male presents with sudden onset fever, headache, and muscle aches. He denies any recent travel or sick contacts. On examination, his temperature is 39.5°C (103.1°F), and he appears flushed. Which is the most likely mechanism underlying his fever?</t>
  </si>
  <si>
    <t>Which is a key component of the innate immune system?</t>
  </si>
  <si>
    <t>Which is a characteristic feature of benign tumors?</t>
  </si>
  <si>
    <t>Which is characterized by lack of differentiation?</t>
  </si>
  <si>
    <t>A child is born with a single functional allele of a tumor suppressor gene. At the age of five the remaining normal allele is lost through a point mutation. As a result, the ability to inhibit cell cycle progression until the cell is ready to divide is lost. Which neoplasms is most likely to arise via this mechanism</t>
  </si>
  <si>
    <t>Which diseases is NOT associated with dysregulated apoptosis?</t>
  </si>
  <si>
    <t>In Which conditions does iron accumulate in cells leading to damage?</t>
  </si>
  <si>
    <t>Which statements accurately describes the mechanism of hypovolemic shock?</t>
  </si>
  <si>
    <t>Which best describes the mechanism by which DIC can lead to organ dysfunction?</t>
  </si>
  <si>
    <t xml:space="preserve">Which diseases is characterized by an overactive immune system and reactions to common substances that do not normally elicit a response in most people?
</t>
  </si>
  <si>
    <t>Which is a therapeutic strategy used to induce tolerance to allergens in individuals with allergies?</t>
  </si>
  <si>
    <t>Which conditions is an example of Type 2 Hypersensitivity?</t>
  </si>
  <si>
    <t>Which is a characteristic feature of AIDS-related opportunistic infections?</t>
  </si>
  <si>
    <t>Which is a systemic marker of inflammation often elevated in conditions like rheumatoid arthritis and inflammatory bowel disease?</t>
  </si>
  <si>
    <t>A 40-year-old male presents with redness, warmth, and tenderness over his right calf. He has a history of prolonged immobility due to a recent long-haul flight. Ultrasound reveals a thrombus in the deep veins of the right calf. Which is the most likely diagnosis?</t>
  </si>
  <si>
    <t>Epithelioid cells and multinucleated giant cells seen in granulomatous inflammation are derived from Which?</t>
  </si>
  <si>
    <t>Which is the most characteristic of granuloma:</t>
  </si>
  <si>
    <t xml:space="preserve"> Patient K., 34 years old, consulted a plastic surgeon with complaints of a deforming, unaesthetic-looking scar in the area of the elbow on the left. The patient has a history of injury - rupture of the biceps tendon as a result of sudden lifting of a heavy object. Which types of regeneration is typical for this patient?</t>
  </si>
  <si>
    <t>Which is a characteristic sign of benign tumors?</t>
  </si>
  <si>
    <t>Which is the most likely primary site for a metastatic tumor presenting as a left supraclavicular lymph node (Virchow’s node)?</t>
  </si>
  <si>
    <t>Which techniques helps in studying functional changes during disease at the organ or system level?</t>
  </si>
  <si>
    <t>Which study types is the gold standard to understand microscopic pathological changes at the tissue level?</t>
  </si>
  <si>
    <t>Which is NOT a typical pathological process?</t>
  </si>
  <si>
    <t>Which is a fundamental principle in studying pathogenesis?</t>
  </si>
  <si>
    <t>Which is NOT considered a sign of clinical death?</t>
  </si>
  <si>
    <t>Which is NOT included in the triad of clinical death?</t>
  </si>
  <si>
    <t>Which best describes the adaptive response of tissues to chronic hypoxia?</t>
  </si>
  <si>
    <t>During acute hypoxia, Which cellular events occurs first?</t>
  </si>
  <si>
    <t>Which mechanisms is protective in mild hypoxia?</t>
  </si>
  <si>
    <t>Which best represents a systemic adaptive response to chronic hypoxia?</t>
  </si>
  <si>
    <t>Which is NOT a cause of irreversible cell injury?</t>
  </si>
  <si>
    <t>Which is the earliest manifestation of reversible cell injury?</t>
  </si>
  <si>
    <t>Which is a major mechanism involved in free radical–mediated cell injury?</t>
  </si>
  <si>
    <t>Which is not a common cause of cell injury?</t>
  </si>
  <si>
    <t>Which mechanisms underlies reversible hypoxic injury?</t>
  </si>
  <si>
    <t>Which ultrastructural changes suggests reversible cell injury?</t>
  </si>
  <si>
    <t>Which changes differentiates reversible from irreversible cell injury?</t>
  </si>
  <si>
    <t>Which mechanisms marks the point of no return in cell injury (irreversibility)?</t>
  </si>
  <si>
    <t>Which represents a possible outcome of necrosis?</t>
  </si>
  <si>
    <t>A biopsy from a patient with acute myocardial infarction shows preserved tissue architecture, increased cytoplasmic eosinophilia, and loss of nuclei and cross-striations. Which best explains this morphology?</t>
  </si>
  <si>
    <t>Which best describes the biochemical mechanism of apoptosis?</t>
  </si>
  <si>
    <t>Which genes inhibits apoptosis?</t>
  </si>
  <si>
    <t>Which pathways of apoptosis is triggered by Fas receptor–Fas ligand binding?</t>
  </si>
  <si>
    <t>Hemosiderin accumulation in tissues is best demonstrated by Which stains?</t>
  </si>
  <si>
    <t>Which represents exogenous pigment accumulation?</t>
  </si>
  <si>
    <t>Metastatic calcification most commonly affects Which organs?</t>
  </si>
  <si>
    <t>Which is not an example of extracellular accumulation?</t>
  </si>
  <si>
    <t>A patient with chronic tuberculosis develops multiple chalky white deposits in old lung lesions. Histological examination reveals granular basophilic material. Which best describes this extracellular change?</t>
  </si>
  <si>
    <t>Which pairs is correctly matched with its amyloid type?</t>
  </si>
  <si>
    <t>Which pigments is derived from tyrosine and responsible for normal skin, hair, and eye color?</t>
  </si>
  <si>
    <t>In hemochromatosis, the pigment that accumulates in the liver is best demonstrated by Which stains?</t>
  </si>
  <si>
    <t>Which conditions is characterized by excess deposition of iron in parenchymal organs with resultant fibrosis and organ failure?</t>
  </si>
  <si>
    <t>Which pigments produces a greenish-black discoloration of the lungs due to inhalation of metal oxide particles?</t>
  </si>
  <si>
    <t>A dental technician presents with bluish-black lines on the gums and a metallic taste. This finding is most consistent with Which?</t>
  </si>
  <si>
    <t>Dystrophic calcification occurs in Which situations?</t>
  </si>
  <si>
    <t>Which conditions is most likely to produce metastatic calcification?</t>
  </si>
  <si>
    <t>Which is true regarding dystrophic calcification?</t>
  </si>
  <si>
    <t>A patient with prolonged diarrhea develops metabolic acidosis. Which mechanisms best explains the acidosis?</t>
  </si>
  <si>
    <t>In metabolic alkalosis, Which compensatory changes occurs?</t>
  </si>
  <si>
    <t>Which conditions most likely causes respiratory alkalosis?</t>
  </si>
  <si>
    <t>A patient with diabetic ketoacidosis (DKA) presents with Kussmaul breathing and fruity odor in breath. Which best describes the acid–base disorder?</t>
  </si>
  <si>
    <t>Which mechanisms most commonly produces hypotonic dehydration?</t>
  </si>
  <si>
    <t>Which changes is typical of hypertonic dehydration?</t>
  </si>
  <si>
    <t>Which is the earliest vascular change in acute inflammation?</t>
  </si>
  <si>
    <t>Which mediators causes fever (calor) in systemic inflammation?</t>
  </si>
  <si>
    <t>Which correctly matches the sequence of leukocyte events in acute inflammation?</t>
  </si>
  <si>
    <t>Which is a morphologic hallmark of chronic inflammation?</t>
  </si>
  <si>
    <t>Which is the earliest change in microcirculation during inflammation?</t>
  </si>
  <si>
    <t>Which is the main site of vascular leakage during exudation in acute inflammation?</t>
  </si>
  <si>
    <t>Which is a morphologic type of acute inflammation characterized by protein-poor, cell-poor fluid?</t>
  </si>
  <si>
    <t>Which cell types predominates in chronic inflammation?</t>
  </si>
  <si>
    <t>Which is not a typical feature of chronic inflammation?</t>
  </si>
  <si>
    <t>Which is an exogenous pyrogen?</t>
  </si>
  <si>
    <t>Which is an example of a portal of entry for infection?</t>
  </si>
  <si>
    <t>Which is a classic example of epithelial metaplasia?</t>
  </si>
  <si>
    <t>Which is not a feature of dysplasia?</t>
  </si>
  <si>
    <t>Which terms refers to a loss of structural and functional differentiation characteristic of malignancy?</t>
  </si>
  <si>
    <t>Which best defines tissue repair?</t>
  </si>
  <si>
    <t>Which cell types is permanently non-dividing (non-regenerative)?</t>
  </si>
  <si>
    <t>During Cell injury, FAS Ligand and TNF ex combine/attaches with FAS &amp; TNF Receptors respectively leading to TRIMERIZATION &amp; Activation of FADD which activates Caspase 8 ultimately leading to activation of Proteases and Endonucleases causing Cell Death &amp; CD 95 is an important marker of the whole. Which process is described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</si>
</sst>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 _₽_-;\-* #,##0.00\ _₽_-;_-* &quot;-&quot;??\ _₽_-;_-@_-"/>
    <numFmt numFmtId="164" formatCode="_-* #,##0\ _₽_-;\-* #,##0\ _₽_-;_-* &quot;-&quot;??\ _₽_-;_-@_-"/>
  </numFmts>
  <fonts count="21" x14ac:knownFonts="1">
    <font>
      <sz val="11"/>
      <color theme="1"/>
      <name val="Calibri"/>
      <family val="2"/>
      <charset val="204"/>
      <scheme val="minor"/>
    </font>
    <font>
      <sz val="11"/>
      <color theme="1"/>
      <name val="Calibri"/>
      <family val="2"/>
      <charset val="204"/>
      <scheme val="minor"/>
    </font>
    <font>
      <b/>
      <sz val="10"/>
      <name val="Times New Roman"/>
      <family val="1"/>
      <charset val="204"/>
    </font>
    <font>
      <b/>
      <sz val="10"/>
      <color theme="1"/>
      <name val="Times New Roman"/>
      <family val="1"/>
      <charset val="204"/>
    </font>
    <font>
      <sz val="10"/>
      <color theme="1"/>
      <name val="Times New Roman"/>
      <family val="1"/>
      <charset val="204"/>
    </font>
    <font>
      <sz val="10"/>
      <color rgb="FF000000"/>
      <name val="Times New Roman"/>
      <family val="1"/>
      <charset val="204"/>
    </font>
    <font>
      <sz val="10"/>
      <name val="Times New Roman"/>
      <family val="1"/>
      <charset val="204"/>
    </font>
    <font>
      <b/>
      <sz val="10"/>
      <color rgb="FFFF0000"/>
      <name val="Times New Roman"/>
      <family val="1"/>
      <charset val="204"/>
    </font>
    <font>
      <b/>
      <sz val="10"/>
      <color rgb="FF000000"/>
      <name val="Times New Roman"/>
      <family val="1"/>
      <charset val="204"/>
    </font>
    <font>
      <sz val="11"/>
      <color theme="1"/>
      <name val="Calibri"/>
      <family val="2"/>
      <scheme val="minor"/>
    </font>
    <font>
      <sz val="10"/>
      <color theme="1"/>
      <name val="Calibri"/>
      <family val="2"/>
      <charset val="204"/>
      <scheme val="minor"/>
    </font>
    <font>
      <sz val="10"/>
      <color rgb="FF0D0D0D"/>
      <name val="Times New Roman"/>
      <family val="1"/>
      <charset val="204"/>
    </font>
    <font>
      <sz val="11"/>
      <color theme="1"/>
      <name val="Times New Roman"/>
      <family val="1"/>
      <charset val="204"/>
    </font>
    <font>
      <sz val="11"/>
      <color rgb="FF0D0D0D"/>
      <name val="Times New Roman"/>
      <family val="1"/>
      <charset val="204"/>
    </font>
    <font>
      <sz val="11"/>
      <color rgb="FF000000"/>
      <name val="Times New Roman"/>
      <family val="1"/>
      <charset val="204"/>
    </font>
    <font>
      <sz val="11"/>
      <name val="Times New Roman"/>
      <family val="1"/>
      <charset val="204"/>
    </font>
    <font>
      <sz val="10"/>
      <name val="Calibri"/>
      <family val="2"/>
      <charset val="204"/>
      <scheme val="minor"/>
    </font>
    <font>
      <sz val="10"/>
      <name val="Times New Roman"/>
      <family val="1"/>
    </font>
    <font>
      <sz val="11"/>
      <name val="Times New Roman"/>
      <family val="1"/>
    </font>
    <font>
      <sz val="12"/>
      <name val="Times New Roman"/>
      <family val="1"/>
      <charset val="204"/>
    </font>
    <font>
      <sz val="11"/>
      <name val="Calibri"/>
      <family val="2"/>
      <scheme val="minor"/>
    </font>
  </fonts>
  <fills count="12">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rgb="FFFFCC00"/>
        <bgColor indexed="64"/>
      </patternFill>
    </fill>
    <fill>
      <patternFill patternType="solid">
        <fgColor rgb="FF92D050"/>
        <bgColor indexed="64"/>
      </patternFill>
    </fill>
    <fill>
      <patternFill patternType="solid">
        <fgColor rgb="FFFFC000"/>
        <bgColor indexed="64"/>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thick">
        <color indexed="64"/>
      </right>
      <top style="medium">
        <color indexed="64"/>
      </top>
      <bottom style="thin">
        <color indexed="64"/>
      </bottom>
      <diagonal/>
    </border>
    <border>
      <left style="medium">
        <color indexed="64"/>
      </left>
      <right/>
      <top/>
      <bottom style="medium">
        <color indexed="64"/>
      </bottom>
      <diagonal/>
    </border>
    <border>
      <left style="thick">
        <color indexed="64"/>
      </left>
      <right style="medium">
        <color indexed="64"/>
      </right>
      <top/>
      <bottom style="thick">
        <color indexed="64"/>
      </bottom>
      <diagonal/>
    </border>
    <border>
      <left style="medium">
        <color indexed="64"/>
      </left>
      <right style="medium">
        <color indexed="64"/>
      </right>
      <top/>
      <bottom style="thick">
        <color indexed="64"/>
      </bottom>
      <diagonal/>
    </border>
    <border>
      <left style="medium">
        <color indexed="64"/>
      </left>
      <right style="thick">
        <color indexed="64"/>
      </right>
      <top/>
      <bottom style="thick">
        <color indexed="64"/>
      </bottom>
      <diagonal/>
    </border>
    <border>
      <left style="thick">
        <color rgb="FF000000"/>
      </left>
      <right style="thin">
        <color rgb="FF000000"/>
      </right>
      <top style="thin">
        <color rgb="FF000000"/>
      </top>
      <bottom style="thin">
        <color rgb="FF000000"/>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medium">
        <color auto="1"/>
      </left>
      <right style="medium">
        <color auto="1"/>
      </right>
      <top style="thin">
        <color auto="1"/>
      </top>
      <bottom style="thin">
        <color auto="1"/>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thin">
        <color auto="1"/>
      </right>
      <top/>
      <bottom/>
      <diagonal/>
    </border>
  </borders>
  <cellStyleXfs count="4">
    <xf numFmtId="0" fontId="0" fillId="0" borderId="0"/>
    <xf numFmtId="43" fontId="1" fillId="0" borderId="0" applyFont="0" applyFill="0" applyBorder="0" applyAlignment="0" applyProtection="0"/>
    <xf numFmtId="0" fontId="9" fillId="0" borderId="0"/>
    <xf numFmtId="0" fontId="1" fillId="0" borderId="0"/>
  </cellStyleXfs>
  <cellXfs count="111">
    <xf numFmtId="0" fontId="0" fillId="0" borderId="0" xfId="0"/>
    <xf numFmtId="0" fontId="4" fillId="0" borderId="0" xfId="0" applyFont="1" applyAlignment="1">
      <alignment wrapText="1"/>
    </xf>
    <xf numFmtId="0" fontId="4" fillId="0" borderId="3" xfId="0" applyFont="1" applyBorder="1" applyAlignment="1">
      <alignment vertical="top"/>
    </xf>
    <xf numFmtId="0" fontId="3" fillId="0" borderId="4" xfId="0" applyFont="1" applyBorder="1" applyAlignment="1">
      <alignment vertical="top"/>
    </xf>
    <xf numFmtId="0" fontId="3" fillId="0" borderId="5" xfId="0" applyFont="1" applyBorder="1" applyAlignment="1">
      <alignment horizontal="center" vertical="top" wrapText="1"/>
    </xf>
    <xf numFmtId="0" fontId="2" fillId="0" borderId="5" xfId="0" applyFont="1" applyBorder="1" applyAlignment="1">
      <alignment horizontal="center" vertical="top"/>
    </xf>
    <xf numFmtId="0" fontId="2" fillId="0" borderId="6" xfId="0" applyFont="1" applyBorder="1" applyAlignment="1">
      <alignment horizontal="center" vertical="top"/>
    </xf>
    <xf numFmtId="0" fontId="4" fillId="0" borderId="7" xfId="0" applyFont="1" applyBorder="1" applyAlignment="1">
      <alignment vertical="top"/>
    </xf>
    <xf numFmtId="0" fontId="3" fillId="0" borderId="8" xfId="0" applyFont="1" applyBorder="1" applyAlignment="1">
      <alignment vertical="top"/>
    </xf>
    <xf numFmtId="0" fontId="3" fillId="0" borderId="9" xfId="0" applyFont="1" applyBorder="1" applyAlignment="1">
      <alignment horizontal="center" vertical="top" wrapText="1"/>
    </xf>
    <xf numFmtId="0" fontId="2" fillId="0" borderId="9" xfId="0" applyFont="1" applyBorder="1" applyAlignment="1">
      <alignment horizontal="center" vertical="top"/>
    </xf>
    <xf numFmtId="0" fontId="2" fillId="0" borderId="10" xfId="0" applyFont="1" applyBorder="1" applyAlignment="1">
      <alignment horizontal="center" vertical="top"/>
    </xf>
    <xf numFmtId="0" fontId="5" fillId="2" borderId="11" xfId="0" applyFont="1" applyFill="1" applyBorder="1" applyAlignment="1">
      <alignment horizontal="center" vertical="top" wrapText="1"/>
    </xf>
    <xf numFmtId="1" fontId="6" fillId="2" borderId="1" xfId="0" applyNumberFormat="1" applyFont="1" applyFill="1" applyBorder="1" applyAlignment="1">
      <alignment horizontal="center" vertical="top"/>
    </xf>
    <xf numFmtId="0" fontId="6" fillId="2" borderId="1" xfId="0" applyFont="1" applyFill="1" applyBorder="1" applyAlignment="1">
      <alignment horizontal="center" vertical="top"/>
    </xf>
    <xf numFmtId="0" fontId="4" fillId="0" borderId="1" xfId="0" applyFont="1" applyBorder="1" applyAlignment="1">
      <alignment horizontal="center" vertical="top"/>
    </xf>
    <xf numFmtId="0" fontId="4" fillId="0" borderId="0" xfId="0" applyFont="1"/>
    <xf numFmtId="0" fontId="7" fillId="0" borderId="0" xfId="0" applyFont="1"/>
    <xf numFmtId="164" fontId="7" fillId="0" borderId="0" xfId="1" applyNumberFormat="1" applyFont="1" applyAlignment="1">
      <alignment horizontal="right"/>
    </xf>
    <xf numFmtId="0" fontId="5" fillId="3" borderId="11" xfId="0" applyFont="1" applyFill="1" applyBorder="1" applyAlignment="1">
      <alignment horizontal="center" vertical="top" wrapText="1"/>
    </xf>
    <xf numFmtId="0" fontId="6" fillId="3" borderId="1" xfId="0" applyFont="1" applyFill="1" applyBorder="1" applyAlignment="1">
      <alignment horizontal="center" vertical="top"/>
    </xf>
    <xf numFmtId="0" fontId="5" fillId="4" borderId="11" xfId="0" applyFont="1" applyFill="1" applyBorder="1" applyAlignment="1">
      <alignment horizontal="center" vertical="top" wrapText="1"/>
    </xf>
    <xf numFmtId="0" fontId="6" fillId="4" borderId="1" xfId="0" applyFont="1" applyFill="1" applyBorder="1" applyAlignment="1">
      <alignment horizontal="center" vertical="top"/>
    </xf>
    <xf numFmtId="0" fontId="5" fillId="5" borderId="11" xfId="0" applyFont="1" applyFill="1" applyBorder="1" applyAlignment="1">
      <alignment horizontal="center" vertical="top" wrapText="1"/>
    </xf>
    <xf numFmtId="0" fontId="6" fillId="5" borderId="1" xfId="0" applyFont="1" applyFill="1" applyBorder="1" applyAlignment="1">
      <alignment horizontal="center" vertical="top"/>
    </xf>
    <xf numFmtId="0" fontId="6" fillId="6" borderId="1" xfId="0" applyFont="1" applyFill="1" applyBorder="1" applyAlignment="1">
      <alignment horizontal="center" vertical="top"/>
    </xf>
    <xf numFmtId="0" fontId="6" fillId="7" borderId="1" xfId="0" applyFont="1" applyFill="1" applyBorder="1" applyAlignment="1">
      <alignment horizontal="center" vertical="top"/>
    </xf>
    <xf numFmtId="0" fontId="6" fillId="7" borderId="2" xfId="0" applyFont="1" applyFill="1" applyBorder="1" applyAlignment="1">
      <alignment horizontal="center" vertical="top"/>
    </xf>
    <xf numFmtId="0" fontId="6" fillId="8" borderId="12" xfId="0" applyFont="1" applyFill="1" applyBorder="1" applyAlignment="1">
      <alignment vertical="top" wrapText="1"/>
    </xf>
    <xf numFmtId="0" fontId="2" fillId="8" borderId="13" xfId="0" applyFont="1" applyFill="1" applyBorder="1" applyAlignment="1">
      <alignment vertical="top" wrapText="1"/>
    </xf>
    <xf numFmtId="1" fontId="4" fillId="0" borderId="0" xfId="0" applyNumberFormat="1" applyFont="1" applyAlignment="1">
      <alignment wrapText="1"/>
    </xf>
    <xf numFmtId="0" fontId="6" fillId="0" borderId="0" xfId="0" applyFont="1" applyAlignment="1">
      <alignment vertical="top" wrapText="1"/>
    </xf>
    <xf numFmtId="0" fontId="4" fillId="0" borderId="0" xfId="0" applyFont="1" applyAlignment="1">
      <alignment vertical="top" wrapText="1"/>
    </xf>
    <xf numFmtId="0" fontId="4" fillId="0" borderId="0" xfId="0" applyFont="1" applyAlignment="1">
      <alignment horizontal="center" vertical="top" wrapText="1"/>
    </xf>
    <xf numFmtId="0" fontId="5" fillId="0" borderId="1" xfId="0" applyFont="1" applyBorder="1" applyAlignment="1">
      <alignment horizontal="left" vertical="top" wrapText="1"/>
    </xf>
    <xf numFmtId="0" fontId="5" fillId="0" borderId="1" xfId="0" applyFont="1" applyBorder="1" applyAlignment="1">
      <alignment horizontal="justify" vertical="center" wrapText="1"/>
    </xf>
    <xf numFmtId="0" fontId="3" fillId="8" borderId="13" xfId="0" applyFont="1" applyFill="1" applyBorder="1" applyAlignment="1">
      <alignment horizontal="center" vertical="top" wrapText="1"/>
    </xf>
    <xf numFmtId="0" fontId="10" fillId="9" borderId="1" xfId="0" applyFont="1" applyFill="1" applyBorder="1" applyAlignment="1" applyProtection="1">
      <alignment vertical="top"/>
      <protection locked="0"/>
    </xf>
    <xf numFmtId="0" fontId="4" fillId="9" borderId="1" xfId="0" applyFont="1" applyFill="1" applyBorder="1" applyAlignment="1" applyProtection="1">
      <alignment horizontal="center" vertical="top"/>
      <protection locked="0"/>
    </xf>
    <xf numFmtId="0" fontId="3" fillId="9" borderId="1" xfId="0" applyFont="1" applyFill="1" applyBorder="1" applyAlignment="1" applyProtection="1">
      <alignment horizontal="left" vertical="top"/>
      <protection locked="0"/>
    </xf>
    <xf numFmtId="0" fontId="3" fillId="9" borderId="1" xfId="0" applyFont="1" applyFill="1" applyBorder="1" applyAlignment="1" applyProtection="1">
      <alignment horizontal="center" vertical="top"/>
      <protection locked="0"/>
    </xf>
    <xf numFmtId="0" fontId="4" fillId="9" borderId="1" xfId="0" applyFont="1" applyFill="1" applyBorder="1" applyAlignment="1" applyProtection="1">
      <alignment horizontal="left" vertical="top" wrapText="1"/>
      <protection locked="0"/>
    </xf>
    <xf numFmtId="0" fontId="10" fillId="9" borderId="1" xfId="0" applyFont="1" applyFill="1" applyBorder="1" applyAlignment="1" applyProtection="1">
      <alignment horizontal="center" vertical="top"/>
      <protection locked="0"/>
    </xf>
    <xf numFmtId="0" fontId="4" fillId="9" borderId="1" xfId="0" applyFont="1" applyFill="1" applyBorder="1" applyAlignment="1" applyProtection="1">
      <alignment horizontal="center" vertical="top" wrapText="1"/>
      <protection locked="0"/>
    </xf>
    <xf numFmtId="0" fontId="3" fillId="9" borderId="1" xfId="0" applyFont="1" applyFill="1" applyBorder="1" applyAlignment="1" applyProtection="1">
      <alignment horizontal="left" vertical="top" wrapText="1"/>
      <protection locked="0"/>
    </xf>
    <xf numFmtId="0" fontId="3" fillId="9" borderId="1" xfId="0" applyFont="1" applyFill="1" applyBorder="1" applyAlignment="1" applyProtection="1">
      <alignment horizontal="center" vertical="top" wrapText="1"/>
      <protection locked="0"/>
    </xf>
    <xf numFmtId="0" fontId="4" fillId="11" borderId="1" xfId="0" applyFont="1" applyFill="1" applyBorder="1" applyAlignment="1" applyProtection="1">
      <alignment horizontal="center" vertical="top" wrapText="1"/>
      <protection locked="0"/>
    </xf>
    <xf numFmtId="0" fontId="10" fillId="11" borderId="1" xfId="0" applyFont="1" applyFill="1" applyBorder="1" applyAlignment="1" applyProtection="1">
      <alignment horizontal="left" vertical="top" wrapText="1"/>
      <protection locked="0"/>
    </xf>
    <xf numFmtId="0" fontId="10" fillId="11" borderId="1" xfId="0" applyFont="1" applyFill="1" applyBorder="1" applyAlignment="1" applyProtection="1">
      <alignment vertical="top"/>
      <protection locked="0"/>
    </xf>
    <xf numFmtId="0" fontId="10" fillId="11" borderId="1" xfId="0" applyFont="1" applyFill="1" applyBorder="1" applyAlignment="1" applyProtection="1">
      <alignment horizontal="center" vertical="top" wrapText="1"/>
      <protection locked="0"/>
    </xf>
    <xf numFmtId="0" fontId="11" fillId="11" borderId="1" xfId="0" applyFont="1" applyFill="1" applyBorder="1" applyAlignment="1" applyProtection="1">
      <alignment horizontal="center" vertical="top" wrapText="1"/>
      <protection locked="0"/>
    </xf>
    <xf numFmtId="0" fontId="4" fillId="11" borderId="1" xfId="2" applyFont="1" applyFill="1" applyBorder="1" applyAlignment="1" applyProtection="1">
      <alignment horizontal="center" vertical="top" wrapText="1"/>
      <protection locked="0"/>
    </xf>
    <xf numFmtId="0" fontId="10" fillId="0" borderId="0" xfId="0" applyFont="1" applyProtection="1">
      <protection locked="0"/>
    </xf>
    <xf numFmtId="0" fontId="4" fillId="11" borderId="1" xfId="0" applyFont="1" applyFill="1" applyBorder="1" applyAlignment="1" applyProtection="1">
      <alignment horizontal="center" vertical="top" wrapText="1"/>
    </xf>
    <xf numFmtId="0" fontId="4" fillId="10" borderId="1" xfId="0" applyFont="1" applyFill="1" applyBorder="1" applyAlignment="1" applyProtection="1">
      <alignment horizontal="center" vertical="top" wrapText="1"/>
    </xf>
    <xf numFmtId="0" fontId="12" fillId="9" borderId="1" xfId="0" applyFont="1" applyFill="1" applyBorder="1" applyAlignment="1" applyProtection="1">
      <alignment horizontal="left" vertical="top" wrapText="1"/>
      <protection locked="0"/>
    </xf>
    <xf numFmtId="0" fontId="12" fillId="0" borderId="0" xfId="0" applyFont="1" applyAlignment="1" applyProtection="1">
      <alignment horizontal="left" vertical="top" wrapText="1"/>
      <protection locked="0"/>
    </xf>
    <xf numFmtId="0" fontId="12" fillId="0" borderId="16" xfId="0" applyFont="1" applyBorder="1" applyAlignment="1" applyProtection="1">
      <alignment horizontal="left" vertical="top" wrapText="1"/>
      <protection locked="0"/>
    </xf>
    <xf numFmtId="0" fontId="12" fillId="0" borderId="1" xfId="0" applyFont="1" applyBorder="1" applyAlignment="1" applyProtection="1">
      <alignment horizontal="left" vertical="top" wrapText="1"/>
      <protection locked="0"/>
    </xf>
    <xf numFmtId="0" fontId="14" fillId="0" borderId="1" xfId="0" applyFont="1" applyBorder="1" applyAlignment="1" applyProtection="1">
      <alignment horizontal="left" vertical="top" wrapText="1"/>
      <protection locked="0"/>
    </xf>
    <xf numFmtId="0" fontId="13" fillId="0" borderId="1" xfId="0" applyFont="1" applyBorder="1" applyAlignment="1" applyProtection="1">
      <alignment horizontal="left" vertical="top" wrapText="1"/>
      <protection locked="0"/>
    </xf>
    <xf numFmtId="0" fontId="12" fillId="0" borderId="1" xfId="0" applyFont="1" applyBorder="1" applyAlignment="1" applyProtection="1">
      <alignment horizontal="center" vertical="top" wrapText="1"/>
      <protection locked="0"/>
    </xf>
    <xf numFmtId="0" fontId="12" fillId="0" borderId="1" xfId="3" applyFont="1" applyBorder="1" applyAlignment="1" applyProtection="1">
      <alignment horizontal="left" vertical="top" wrapText="1"/>
      <protection locked="0"/>
    </xf>
    <xf numFmtId="0" fontId="12" fillId="0" borderId="1" xfId="3" applyFont="1" applyBorder="1" applyAlignment="1" applyProtection="1">
      <alignment horizontal="center" vertical="top" wrapText="1"/>
      <protection locked="0"/>
    </xf>
    <xf numFmtId="0" fontId="12" fillId="0" borderId="2" xfId="0" applyFont="1" applyBorder="1" applyAlignment="1" applyProtection="1">
      <alignment horizontal="center" vertical="top" wrapText="1"/>
      <protection locked="0"/>
    </xf>
    <xf numFmtId="0" fontId="12" fillId="0" borderId="1" xfId="0" applyFont="1" applyFill="1" applyBorder="1" applyAlignment="1" applyProtection="1">
      <alignment horizontal="left" vertical="top" wrapText="1"/>
      <protection locked="0"/>
    </xf>
    <xf numFmtId="0" fontId="12" fillId="9" borderId="1" xfId="0" applyFont="1" applyFill="1" applyBorder="1" applyAlignment="1" applyProtection="1">
      <alignment horizontal="center" vertical="top"/>
      <protection locked="0"/>
    </xf>
    <xf numFmtId="0" fontId="12" fillId="9" borderId="1" xfId="0" applyFont="1" applyFill="1" applyBorder="1" applyAlignment="1" applyProtection="1">
      <alignment horizontal="left" vertical="top"/>
      <protection locked="0"/>
    </xf>
    <xf numFmtId="0" fontId="15" fillId="9" borderId="1" xfId="0" applyFont="1" applyFill="1" applyBorder="1" applyAlignment="1" applyProtection="1">
      <alignment horizontal="left" vertical="top" wrapText="1"/>
      <protection locked="0"/>
    </xf>
    <xf numFmtId="0" fontId="14" fillId="9" borderId="1" xfId="0" applyFont="1" applyFill="1" applyBorder="1" applyAlignment="1" applyProtection="1">
      <alignment horizontal="left" vertical="top" wrapText="1"/>
      <protection locked="0"/>
    </xf>
    <xf numFmtId="0" fontId="12" fillId="9" borderId="1" xfId="0" applyFont="1" applyFill="1" applyBorder="1" applyAlignment="1" applyProtection="1">
      <alignment horizontal="center" vertical="top" wrapText="1"/>
      <protection locked="0"/>
    </xf>
    <xf numFmtId="0" fontId="12" fillId="0" borderId="1" xfId="0" applyFont="1" applyBorder="1" applyAlignment="1" applyProtection="1">
      <alignment horizontal="center" vertical="top"/>
      <protection locked="0"/>
    </xf>
    <xf numFmtId="0" fontId="12" fillId="0" borderId="1" xfId="0" applyFont="1" applyBorder="1" applyAlignment="1" applyProtection="1">
      <alignment horizontal="left" vertical="top"/>
      <protection locked="0"/>
    </xf>
    <xf numFmtId="0" fontId="13" fillId="0" borderId="1" xfId="0" applyFont="1" applyBorder="1" applyAlignment="1" applyProtection="1">
      <alignment horizontal="center" vertical="top" wrapText="1"/>
      <protection locked="0"/>
    </xf>
    <xf numFmtId="20" fontId="12" fillId="0" borderId="1" xfId="0" applyNumberFormat="1" applyFont="1" applyBorder="1" applyAlignment="1" applyProtection="1">
      <alignment horizontal="left" vertical="top" wrapText="1"/>
      <protection locked="0"/>
    </xf>
    <xf numFmtId="0" fontId="12" fillId="0" borderId="17" xfId="0" applyFont="1" applyBorder="1" applyAlignment="1" applyProtection="1">
      <alignment horizontal="left" vertical="top" wrapText="1"/>
      <protection locked="0"/>
    </xf>
    <xf numFmtId="0" fontId="12" fillId="0" borderId="2" xfId="0" applyFont="1" applyBorder="1" applyAlignment="1" applyProtection="1">
      <alignment horizontal="left" vertical="top" wrapText="1"/>
      <protection locked="0"/>
    </xf>
    <xf numFmtId="0" fontId="15" fillId="0" borderId="1" xfId="0" applyFont="1" applyBorder="1" applyAlignment="1" applyProtection="1">
      <alignment horizontal="left" vertical="top" wrapText="1"/>
      <protection locked="0"/>
    </xf>
    <xf numFmtId="0" fontId="4" fillId="10" borderId="17" xfId="0" applyFont="1" applyFill="1" applyBorder="1" applyAlignment="1" applyProtection="1">
      <alignment horizontal="center" vertical="top" wrapText="1"/>
    </xf>
    <xf numFmtId="0" fontId="5" fillId="0" borderId="1" xfId="0" applyFont="1" applyBorder="1" applyAlignment="1">
      <alignment horizontal="justify" vertical="top" wrapText="1"/>
    </xf>
    <xf numFmtId="0" fontId="16" fillId="9" borderId="1" xfId="0" applyFont="1" applyFill="1" applyBorder="1" applyAlignment="1" applyProtection="1">
      <alignment vertical="top"/>
      <protection locked="0"/>
    </xf>
    <xf numFmtId="0" fontId="6" fillId="9" borderId="1" xfId="0" applyFont="1" applyFill="1" applyBorder="1" applyAlignment="1" applyProtection="1">
      <alignment horizontal="center" vertical="top"/>
      <protection locked="0"/>
    </xf>
    <xf numFmtId="0" fontId="15" fillId="9" borderId="1" xfId="0" applyFont="1" applyFill="1" applyBorder="1" applyAlignment="1" applyProtection="1">
      <alignment vertical="top" wrapText="1"/>
      <protection locked="0"/>
    </xf>
    <xf numFmtId="0" fontId="15" fillId="9" borderId="1" xfId="0" applyFont="1" applyFill="1" applyBorder="1" applyAlignment="1" applyProtection="1">
      <alignment horizontal="left" vertical="top" wrapText="1"/>
      <protection locked="0"/>
    </xf>
    <xf numFmtId="0" fontId="6" fillId="9" borderId="1" xfId="0" applyFont="1" applyFill="1" applyBorder="1" applyAlignment="1" applyProtection="1">
      <alignment horizontal="left" vertical="top" wrapText="1"/>
      <protection locked="0"/>
    </xf>
    <xf numFmtId="0" fontId="16" fillId="9" borderId="1" xfId="0" applyFont="1" applyFill="1" applyBorder="1" applyAlignment="1" applyProtection="1">
      <alignment horizontal="center" vertical="top"/>
      <protection locked="0"/>
    </xf>
    <xf numFmtId="0" fontId="6" fillId="9" borderId="1" xfId="0" applyFont="1" applyFill="1" applyBorder="1" applyAlignment="1" applyProtection="1">
      <alignment horizontal="center" vertical="top" wrapText="1"/>
      <protection locked="0"/>
    </xf>
    <xf numFmtId="0" fontId="17" fillId="9" borderId="1" xfId="0" applyFont="1" applyFill="1" applyBorder="1" applyAlignment="1" applyProtection="1">
      <alignment vertical="top" wrapText="1"/>
      <protection locked="0"/>
    </xf>
    <xf numFmtId="0" fontId="17" fillId="9" borderId="1" xfId="0" applyFont="1" applyFill="1" applyBorder="1" applyAlignment="1" applyProtection="1">
      <alignment vertical="top"/>
      <protection locked="0"/>
    </xf>
    <xf numFmtId="0" fontId="6" fillId="9" borderId="1" xfId="0" applyFont="1" applyFill="1" applyBorder="1" applyAlignment="1" applyProtection="1">
      <alignment vertical="top" wrapText="1"/>
      <protection locked="0"/>
    </xf>
    <xf numFmtId="0" fontId="17" fillId="9" borderId="1" xfId="0" applyFont="1" applyFill="1" applyBorder="1" applyAlignment="1" applyProtection="1">
      <alignment horizontal="left" vertical="top" wrapText="1"/>
      <protection locked="0"/>
    </xf>
    <xf numFmtId="0" fontId="18" fillId="9" borderId="1" xfId="0" applyFont="1" applyFill="1" applyBorder="1" applyAlignment="1" applyProtection="1">
      <alignment horizontal="left" vertical="top" wrapText="1"/>
      <protection locked="0"/>
    </xf>
    <xf numFmtId="0" fontId="6" fillId="9" borderId="1" xfId="0" applyFont="1" applyFill="1" applyBorder="1" applyAlignment="1" applyProtection="1">
      <alignment horizontal="justify" vertical="top" wrapText="1"/>
      <protection locked="0"/>
    </xf>
    <xf numFmtId="0" fontId="18" fillId="9" borderId="1" xfId="0" applyFont="1" applyFill="1" applyBorder="1" applyAlignment="1" applyProtection="1">
      <alignment vertical="top" wrapText="1"/>
      <protection locked="0"/>
    </xf>
    <xf numFmtId="0" fontId="15" fillId="9" borderId="15" xfId="0" applyFont="1" applyFill="1" applyBorder="1" applyAlignment="1" applyProtection="1">
      <alignment vertical="top" wrapText="1"/>
      <protection locked="0"/>
    </xf>
    <xf numFmtId="0" fontId="15" fillId="9" borderId="1" xfId="0" applyFont="1" applyFill="1" applyBorder="1" applyAlignment="1" applyProtection="1">
      <alignment horizontal="justify" vertical="top" wrapText="1"/>
      <protection locked="0"/>
    </xf>
    <xf numFmtId="0" fontId="16" fillId="9" borderId="1" xfId="0" applyFont="1" applyFill="1" applyBorder="1" applyAlignment="1" applyProtection="1">
      <alignment horizontal="center" vertical="top" wrapText="1"/>
      <protection locked="0"/>
    </xf>
    <xf numFmtId="0" fontId="6" fillId="9" borderId="1" xfId="2" applyFont="1" applyFill="1" applyBorder="1" applyAlignment="1" applyProtection="1">
      <alignment horizontal="center" vertical="top" wrapText="1"/>
      <protection locked="0"/>
    </xf>
    <xf numFmtId="0" fontId="16" fillId="9" borderId="0" xfId="0" applyFont="1" applyFill="1" applyProtection="1">
      <protection locked="0"/>
    </xf>
    <xf numFmtId="0" fontId="6" fillId="9" borderId="1" xfId="2" applyFont="1" applyFill="1" applyBorder="1" applyAlignment="1" applyProtection="1">
      <alignment vertical="top" wrapText="1"/>
      <protection locked="0"/>
    </xf>
    <xf numFmtId="0" fontId="15" fillId="9" borderId="14" xfId="0" applyFont="1" applyFill="1" applyBorder="1" applyAlignment="1" applyProtection="1">
      <alignment horizontal="left" vertical="top" wrapText="1"/>
      <protection locked="0"/>
    </xf>
    <xf numFmtId="0" fontId="15" fillId="9" borderId="0" xfId="0" applyFont="1" applyFill="1" applyAlignment="1" applyProtection="1">
      <alignment horizontal="left" vertical="top" wrapText="1"/>
      <protection locked="0"/>
    </xf>
    <xf numFmtId="0" fontId="15" fillId="9" borderId="16" xfId="0" applyFont="1" applyFill="1" applyBorder="1" applyAlignment="1" applyProtection="1">
      <alignment horizontal="left" vertical="top" wrapText="1"/>
      <protection locked="0"/>
    </xf>
    <xf numFmtId="0" fontId="15" fillId="9" borderId="16" xfId="0" applyFont="1" applyFill="1" applyBorder="1" applyAlignment="1" applyProtection="1">
      <alignment vertical="top" wrapText="1"/>
      <protection locked="0"/>
    </xf>
    <xf numFmtId="0" fontId="19" fillId="9" borderId="1" xfId="0" applyFont="1" applyFill="1" applyBorder="1" applyAlignment="1" applyProtection="1">
      <alignment horizontal="left" vertical="top" wrapText="1"/>
      <protection locked="0"/>
    </xf>
    <xf numFmtId="0" fontId="19" fillId="9" borderId="1" xfId="0" applyFont="1" applyFill="1" applyBorder="1" applyAlignment="1" applyProtection="1">
      <alignment vertical="top" wrapText="1"/>
      <protection locked="0"/>
    </xf>
    <xf numFmtId="0" fontId="15" fillId="9" borderId="1" xfId="2" applyFont="1" applyFill="1" applyBorder="1" applyAlignment="1" applyProtection="1">
      <alignment vertical="top" wrapText="1"/>
      <protection locked="0"/>
    </xf>
    <xf numFmtId="0" fontId="20" fillId="9" borderId="1" xfId="2" applyFont="1" applyFill="1" applyBorder="1" applyAlignment="1">
      <alignment vertical="top"/>
    </xf>
    <xf numFmtId="0" fontId="2" fillId="0" borderId="0" xfId="0" applyFont="1" applyAlignment="1">
      <alignment wrapText="1"/>
    </xf>
    <xf numFmtId="0" fontId="3" fillId="0" borderId="0" xfId="0" applyFont="1" applyAlignment="1">
      <alignment wrapText="1"/>
    </xf>
    <xf numFmtId="0" fontId="3" fillId="9" borderId="1" xfId="0" applyFont="1" applyFill="1" applyBorder="1" applyAlignment="1" applyProtection="1">
      <alignment horizontal="left" vertical="top" wrapText="1"/>
      <protection locked="0"/>
    </xf>
  </cellXfs>
  <cellStyles count="4">
    <cellStyle name="Обычный" xfId="0" builtinId="0"/>
    <cellStyle name="Обычный 2" xfId="2"/>
    <cellStyle name="Обычный 3" xfId="3"/>
    <cellStyle name="Финансовый"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0"/>
  <sheetViews>
    <sheetView topLeftCell="A40" workbookViewId="0">
      <selection activeCell="B51" sqref="B51"/>
    </sheetView>
  </sheetViews>
  <sheetFormatPr defaultColWidth="9.33203125" defaultRowHeight="12" customHeight="1" x14ac:dyDescent="0.25"/>
  <cols>
    <col min="1" max="1" width="16.33203125" style="31" customWidth="1"/>
    <col min="2" max="2" width="56" style="31" customWidth="1"/>
    <col min="3" max="3" width="8.44140625" style="32" customWidth="1"/>
    <col min="4" max="4" width="16.6640625" style="32" customWidth="1"/>
    <col min="5" max="5" width="20.33203125" style="33" customWidth="1"/>
    <col min="6" max="6" width="23" style="33" customWidth="1"/>
    <col min="7" max="7" width="18.33203125" style="33" customWidth="1"/>
    <col min="8" max="21" width="9.33203125" style="1"/>
    <col min="22" max="22" width="47" style="1" customWidth="1"/>
    <col min="23" max="23" width="9.33203125" style="1"/>
    <col min="24" max="24" width="14.33203125" style="1" customWidth="1"/>
    <col min="25" max="25" width="18" style="1" customWidth="1"/>
    <col min="26" max="26" width="17.44140625" style="1" customWidth="1"/>
    <col min="27" max="27" width="20" style="1" customWidth="1"/>
    <col min="28" max="28" width="15.33203125" style="1" customWidth="1"/>
    <col min="29" max="29" width="17.33203125" style="1" customWidth="1"/>
    <col min="30" max="30" width="16.33203125" style="1" customWidth="1"/>
    <col min="31" max="31" width="16.44140625" style="1" customWidth="1"/>
    <col min="32" max="16384" width="9.33203125" style="1"/>
  </cols>
  <sheetData>
    <row r="1" spans="1:26" ht="12" customHeight="1" thickBot="1" x14ac:dyDescent="0.3">
      <c r="A1" s="108" t="s">
        <v>50</v>
      </c>
      <c r="B1" s="109"/>
      <c r="C1" s="109"/>
      <c r="D1" s="109"/>
      <c r="E1" s="109"/>
      <c r="F1" s="109"/>
      <c r="G1" s="109"/>
    </row>
    <row r="2" spans="1:26" ht="12" customHeight="1" x14ac:dyDescent="0.25">
      <c r="A2" s="2" t="s">
        <v>51</v>
      </c>
      <c r="B2" s="3"/>
      <c r="C2" s="4" t="s">
        <v>52</v>
      </c>
      <c r="D2" s="4" t="s">
        <v>53</v>
      </c>
      <c r="E2" s="5" t="s">
        <v>54</v>
      </c>
      <c r="F2" s="5" t="s">
        <v>55</v>
      </c>
      <c r="G2" s="6" t="s">
        <v>56</v>
      </c>
    </row>
    <row r="3" spans="1:26" ht="12" customHeight="1" thickBot="1" x14ac:dyDescent="0.3">
      <c r="A3" s="7"/>
      <c r="B3" s="8"/>
      <c r="C3" s="9"/>
      <c r="D3" s="9"/>
      <c r="E3" s="10" t="s">
        <v>16</v>
      </c>
      <c r="F3" s="10" t="s">
        <v>17</v>
      </c>
      <c r="G3" s="11" t="s">
        <v>18</v>
      </c>
    </row>
    <row r="4" spans="1:26" ht="12" customHeight="1" x14ac:dyDescent="0.25">
      <c r="A4" s="12" t="s">
        <v>330</v>
      </c>
      <c r="B4" s="34" t="s">
        <v>22</v>
      </c>
      <c r="C4" s="13">
        <v>2</v>
      </c>
      <c r="D4" s="14">
        <v>2</v>
      </c>
      <c r="E4" s="15">
        <v>2</v>
      </c>
      <c r="F4" s="15">
        <v>0</v>
      </c>
      <c r="G4" s="15">
        <v>0</v>
      </c>
      <c r="T4" s="16"/>
      <c r="U4" s="16"/>
      <c r="V4" s="17"/>
      <c r="W4" s="18"/>
      <c r="X4" s="17"/>
      <c r="Y4" s="17"/>
      <c r="Z4" s="17"/>
    </row>
    <row r="5" spans="1:26" ht="12" customHeight="1" x14ac:dyDescent="0.25">
      <c r="A5" s="12" t="s">
        <v>331</v>
      </c>
      <c r="B5" s="34" t="s">
        <v>23</v>
      </c>
      <c r="C5" s="13">
        <v>2</v>
      </c>
      <c r="D5" s="14">
        <v>2</v>
      </c>
      <c r="E5" s="15">
        <v>2</v>
      </c>
      <c r="F5" s="15">
        <v>0</v>
      </c>
      <c r="G5" s="15">
        <v>0</v>
      </c>
      <c r="T5" s="16"/>
      <c r="U5" s="16"/>
      <c r="V5" s="17"/>
      <c r="W5" s="18"/>
      <c r="X5" s="17"/>
      <c r="Y5" s="17"/>
      <c r="Z5" s="17"/>
    </row>
    <row r="6" spans="1:26" ht="12" customHeight="1" x14ac:dyDescent="0.25">
      <c r="A6" s="12" t="s">
        <v>332</v>
      </c>
      <c r="B6" s="34" t="s">
        <v>24</v>
      </c>
      <c r="C6" s="13">
        <v>2</v>
      </c>
      <c r="D6" s="14">
        <v>2</v>
      </c>
      <c r="E6" s="15">
        <v>1</v>
      </c>
      <c r="F6" s="15">
        <v>1</v>
      </c>
      <c r="G6" s="15">
        <v>0</v>
      </c>
    </row>
    <row r="7" spans="1:26" ht="12" customHeight="1" x14ac:dyDescent="0.25">
      <c r="A7" s="12" t="s">
        <v>333</v>
      </c>
      <c r="B7" s="34" t="s">
        <v>0</v>
      </c>
      <c r="C7" s="13">
        <v>2</v>
      </c>
      <c r="D7" s="14">
        <v>2</v>
      </c>
      <c r="E7" s="15">
        <v>0</v>
      </c>
      <c r="F7" s="15">
        <v>1</v>
      </c>
      <c r="G7" s="15">
        <v>1</v>
      </c>
    </row>
    <row r="8" spans="1:26" ht="12" customHeight="1" x14ac:dyDescent="0.25">
      <c r="A8" s="12" t="s">
        <v>334</v>
      </c>
      <c r="B8" s="34" t="s">
        <v>25</v>
      </c>
      <c r="C8" s="13">
        <v>2</v>
      </c>
      <c r="D8" s="14">
        <v>2</v>
      </c>
      <c r="E8" s="15">
        <v>0</v>
      </c>
      <c r="F8" s="15">
        <v>2</v>
      </c>
      <c r="G8" s="15">
        <v>0</v>
      </c>
    </row>
    <row r="9" spans="1:26" ht="12" customHeight="1" x14ac:dyDescent="0.25">
      <c r="A9" s="12" t="s">
        <v>335</v>
      </c>
      <c r="B9" s="34" t="s">
        <v>28</v>
      </c>
      <c r="C9" s="13">
        <v>2</v>
      </c>
      <c r="D9" s="14">
        <v>2</v>
      </c>
      <c r="E9" s="15">
        <v>0</v>
      </c>
      <c r="F9" s="15">
        <v>1</v>
      </c>
      <c r="G9" s="15">
        <v>1</v>
      </c>
    </row>
    <row r="10" spans="1:26" ht="12" customHeight="1" x14ac:dyDescent="0.25">
      <c r="A10" s="12" t="s">
        <v>336</v>
      </c>
      <c r="B10" s="34" t="s">
        <v>26</v>
      </c>
      <c r="C10" s="13">
        <v>2</v>
      </c>
      <c r="D10" s="14">
        <v>3</v>
      </c>
      <c r="E10" s="15">
        <v>0</v>
      </c>
      <c r="F10" s="15">
        <v>2</v>
      </c>
      <c r="G10" s="15">
        <v>1</v>
      </c>
    </row>
    <row r="11" spans="1:26" ht="12" customHeight="1" x14ac:dyDescent="0.25">
      <c r="A11" s="12" t="s">
        <v>337</v>
      </c>
      <c r="B11" s="34" t="s">
        <v>27</v>
      </c>
      <c r="C11" s="13">
        <v>2</v>
      </c>
      <c r="D11" s="14">
        <v>2</v>
      </c>
      <c r="E11" s="15">
        <v>0</v>
      </c>
      <c r="F11" s="15">
        <v>2</v>
      </c>
      <c r="G11" s="15">
        <v>0</v>
      </c>
    </row>
    <row r="12" spans="1:26" ht="12" customHeight="1" x14ac:dyDescent="0.25">
      <c r="A12" s="19" t="s">
        <v>338</v>
      </c>
      <c r="B12" s="79" t="s">
        <v>3</v>
      </c>
      <c r="C12" s="20">
        <v>2</v>
      </c>
      <c r="D12" s="20">
        <v>3</v>
      </c>
      <c r="E12" s="15">
        <v>1</v>
      </c>
      <c r="F12" s="15">
        <v>1</v>
      </c>
      <c r="G12" s="15">
        <v>1</v>
      </c>
    </row>
    <row r="13" spans="1:26" ht="12" customHeight="1" x14ac:dyDescent="0.25">
      <c r="A13" s="19" t="s">
        <v>339</v>
      </c>
      <c r="B13" s="79" t="s">
        <v>4</v>
      </c>
      <c r="C13" s="20">
        <v>2</v>
      </c>
      <c r="D13" s="20">
        <v>2</v>
      </c>
      <c r="E13" s="15">
        <v>1</v>
      </c>
      <c r="F13" s="15">
        <v>1</v>
      </c>
      <c r="G13" s="15">
        <v>0</v>
      </c>
    </row>
    <row r="14" spans="1:26" ht="12" customHeight="1" x14ac:dyDescent="0.25">
      <c r="A14" s="19" t="s">
        <v>340</v>
      </c>
      <c r="B14" s="79" t="s">
        <v>12</v>
      </c>
      <c r="C14" s="20">
        <v>2</v>
      </c>
      <c r="D14" s="20">
        <v>2</v>
      </c>
      <c r="E14" s="15">
        <v>1</v>
      </c>
      <c r="F14" s="15">
        <v>0</v>
      </c>
      <c r="G14" s="15">
        <v>1</v>
      </c>
    </row>
    <row r="15" spans="1:26" ht="12" customHeight="1" x14ac:dyDescent="0.25">
      <c r="A15" s="19" t="s">
        <v>341</v>
      </c>
      <c r="B15" s="79" t="s">
        <v>46</v>
      </c>
      <c r="C15" s="20">
        <v>2</v>
      </c>
      <c r="D15" s="20">
        <v>2</v>
      </c>
      <c r="E15" s="15">
        <v>1</v>
      </c>
      <c r="F15" s="15">
        <v>1</v>
      </c>
      <c r="G15" s="15">
        <v>0</v>
      </c>
    </row>
    <row r="16" spans="1:26" ht="12" customHeight="1" x14ac:dyDescent="0.25">
      <c r="A16" s="19" t="s">
        <v>342</v>
      </c>
      <c r="B16" s="79" t="s">
        <v>100</v>
      </c>
      <c r="C16" s="20">
        <v>2</v>
      </c>
      <c r="D16" s="20">
        <v>2</v>
      </c>
      <c r="E16" s="15">
        <v>1</v>
      </c>
      <c r="F16" s="15">
        <v>1</v>
      </c>
      <c r="G16" s="15">
        <v>0</v>
      </c>
    </row>
    <row r="17" spans="1:7" ht="12" customHeight="1" x14ac:dyDescent="0.25">
      <c r="A17" s="19" t="s">
        <v>343</v>
      </c>
      <c r="B17" s="79" t="s">
        <v>47</v>
      </c>
      <c r="C17" s="20">
        <v>2</v>
      </c>
      <c r="D17" s="20">
        <v>2</v>
      </c>
      <c r="E17" s="15">
        <v>1</v>
      </c>
      <c r="F17" s="15">
        <v>1</v>
      </c>
      <c r="G17" s="15">
        <v>0</v>
      </c>
    </row>
    <row r="18" spans="1:7" ht="12" customHeight="1" x14ac:dyDescent="0.25">
      <c r="A18" s="19" t="s">
        <v>344</v>
      </c>
      <c r="B18" s="79" t="s">
        <v>29</v>
      </c>
      <c r="C18" s="20">
        <v>2</v>
      </c>
      <c r="D18" s="20">
        <v>2</v>
      </c>
      <c r="E18" s="15">
        <v>0</v>
      </c>
      <c r="F18" s="15">
        <v>1</v>
      </c>
      <c r="G18" s="15">
        <v>1</v>
      </c>
    </row>
    <row r="19" spans="1:7" ht="12" customHeight="1" x14ac:dyDescent="0.25">
      <c r="A19" s="19" t="s">
        <v>345</v>
      </c>
      <c r="B19" s="79" t="s">
        <v>30</v>
      </c>
      <c r="C19" s="20">
        <v>2</v>
      </c>
      <c r="D19" s="20">
        <v>2</v>
      </c>
      <c r="E19" s="15">
        <v>0</v>
      </c>
      <c r="F19" s="15">
        <v>1</v>
      </c>
      <c r="G19" s="15">
        <v>1</v>
      </c>
    </row>
    <row r="20" spans="1:7" ht="12" customHeight="1" x14ac:dyDescent="0.25">
      <c r="A20" s="21" t="s">
        <v>346</v>
      </c>
      <c r="B20" s="79" t="s">
        <v>5</v>
      </c>
      <c r="C20" s="22">
        <v>2</v>
      </c>
      <c r="D20" s="22">
        <v>2</v>
      </c>
      <c r="E20" s="15">
        <v>1</v>
      </c>
      <c r="F20" s="15">
        <v>1</v>
      </c>
      <c r="G20" s="15">
        <v>0</v>
      </c>
    </row>
    <row r="21" spans="1:7" ht="12" customHeight="1" x14ac:dyDescent="0.25">
      <c r="A21" s="21" t="s">
        <v>347</v>
      </c>
      <c r="B21" s="79" t="s">
        <v>6</v>
      </c>
      <c r="C21" s="22">
        <v>2</v>
      </c>
      <c r="D21" s="22">
        <v>2</v>
      </c>
      <c r="E21" s="15">
        <v>1</v>
      </c>
      <c r="F21" s="15">
        <v>1</v>
      </c>
      <c r="G21" s="15">
        <v>0</v>
      </c>
    </row>
    <row r="22" spans="1:7" ht="12" customHeight="1" x14ac:dyDescent="0.25">
      <c r="A22" s="21" t="s">
        <v>348</v>
      </c>
      <c r="B22" s="79" t="s">
        <v>7</v>
      </c>
      <c r="C22" s="22">
        <v>2</v>
      </c>
      <c r="D22" s="22">
        <v>2</v>
      </c>
      <c r="E22" s="15">
        <v>1</v>
      </c>
      <c r="F22" s="15">
        <v>1</v>
      </c>
      <c r="G22" s="15">
        <v>0</v>
      </c>
    </row>
    <row r="23" spans="1:7" ht="12" customHeight="1" x14ac:dyDescent="0.25">
      <c r="A23" s="21" t="s">
        <v>349</v>
      </c>
      <c r="B23" s="79" t="s">
        <v>8</v>
      </c>
      <c r="C23" s="22">
        <v>2</v>
      </c>
      <c r="D23" s="22">
        <v>2</v>
      </c>
      <c r="E23" s="15">
        <v>1</v>
      </c>
      <c r="F23" s="15">
        <v>1</v>
      </c>
      <c r="G23" s="15">
        <v>0</v>
      </c>
    </row>
    <row r="24" spans="1:7" ht="12" customHeight="1" x14ac:dyDescent="0.25">
      <c r="A24" s="21" t="s">
        <v>350</v>
      </c>
      <c r="B24" s="79" t="s">
        <v>9</v>
      </c>
      <c r="C24" s="22">
        <v>2</v>
      </c>
      <c r="D24" s="22">
        <v>2</v>
      </c>
      <c r="E24" s="15">
        <v>1</v>
      </c>
      <c r="F24" s="15">
        <v>1</v>
      </c>
      <c r="G24" s="15">
        <v>0</v>
      </c>
    </row>
    <row r="25" spans="1:7" ht="12" customHeight="1" x14ac:dyDescent="0.25">
      <c r="A25" s="21" t="s">
        <v>351</v>
      </c>
      <c r="B25" s="79" t="s">
        <v>31</v>
      </c>
      <c r="C25" s="22">
        <v>2</v>
      </c>
      <c r="D25" s="22">
        <v>2</v>
      </c>
      <c r="E25" s="15">
        <v>0</v>
      </c>
      <c r="F25" s="15">
        <v>1</v>
      </c>
      <c r="G25" s="15">
        <v>1</v>
      </c>
    </row>
    <row r="26" spans="1:7" ht="12" customHeight="1" x14ac:dyDescent="0.25">
      <c r="A26" s="21" t="s">
        <v>352</v>
      </c>
      <c r="B26" s="79" t="s">
        <v>48</v>
      </c>
      <c r="C26" s="22">
        <v>2</v>
      </c>
      <c r="D26" s="22">
        <v>2</v>
      </c>
      <c r="E26" s="15">
        <v>0</v>
      </c>
      <c r="F26" s="15">
        <v>1</v>
      </c>
      <c r="G26" s="15">
        <v>1</v>
      </c>
    </row>
    <row r="27" spans="1:7" ht="12" customHeight="1" x14ac:dyDescent="0.25">
      <c r="A27" s="21" t="s">
        <v>353</v>
      </c>
      <c r="B27" s="79" t="s">
        <v>49</v>
      </c>
      <c r="C27" s="22">
        <v>2</v>
      </c>
      <c r="D27" s="22">
        <v>2</v>
      </c>
      <c r="E27" s="15">
        <v>0</v>
      </c>
      <c r="F27" s="15">
        <v>1</v>
      </c>
      <c r="G27" s="15">
        <v>1</v>
      </c>
    </row>
    <row r="28" spans="1:7" ht="12" customHeight="1" x14ac:dyDescent="0.25">
      <c r="A28" s="23" t="s">
        <v>354</v>
      </c>
      <c r="B28" s="34" t="s">
        <v>32</v>
      </c>
      <c r="C28" s="24">
        <v>2</v>
      </c>
      <c r="D28" s="24">
        <v>2</v>
      </c>
      <c r="E28" s="15">
        <v>1</v>
      </c>
      <c r="F28" s="15">
        <v>1</v>
      </c>
      <c r="G28" s="15">
        <v>0</v>
      </c>
    </row>
    <row r="29" spans="1:7" ht="12" customHeight="1" x14ac:dyDescent="0.25">
      <c r="A29" s="23" t="s">
        <v>355</v>
      </c>
      <c r="B29" s="34" t="s">
        <v>33</v>
      </c>
      <c r="C29" s="24">
        <v>2</v>
      </c>
      <c r="D29" s="24">
        <v>2</v>
      </c>
      <c r="E29" s="15">
        <v>1</v>
      </c>
      <c r="F29" s="15">
        <v>1</v>
      </c>
      <c r="G29" s="15">
        <v>0</v>
      </c>
    </row>
    <row r="30" spans="1:7" ht="12" customHeight="1" x14ac:dyDescent="0.25">
      <c r="A30" s="23" t="s">
        <v>356</v>
      </c>
      <c r="B30" s="34" t="s">
        <v>34</v>
      </c>
      <c r="C30" s="24">
        <v>2</v>
      </c>
      <c r="D30" s="24">
        <v>2</v>
      </c>
      <c r="E30" s="15">
        <v>1</v>
      </c>
      <c r="F30" s="15">
        <v>1</v>
      </c>
      <c r="G30" s="15">
        <v>0</v>
      </c>
    </row>
    <row r="31" spans="1:7" ht="12" customHeight="1" x14ac:dyDescent="0.25">
      <c r="A31" s="23" t="s">
        <v>357</v>
      </c>
      <c r="B31" s="34" t="s">
        <v>35</v>
      </c>
      <c r="C31" s="24">
        <v>2</v>
      </c>
      <c r="D31" s="24">
        <v>2</v>
      </c>
      <c r="E31" s="15">
        <v>0</v>
      </c>
      <c r="F31" s="15">
        <v>1</v>
      </c>
      <c r="G31" s="15">
        <v>1</v>
      </c>
    </row>
    <row r="32" spans="1:7" ht="12" customHeight="1" x14ac:dyDescent="0.25">
      <c r="A32" s="23" t="s">
        <v>358</v>
      </c>
      <c r="B32" s="34" t="s">
        <v>11</v>
      </c>
      <c r="C32" s="24">
        <v>2</v>
      </c>
      <c r="D32" s="24">
        <v>3</v>
      </c>
      <c r="E32" s="15">
        <v>1</v>
      </c>
      <c r="F32" s="15">
        <v>1</v>
      </c>
      <c r="G32" s="15">
        <v>1</v>
      </c>
    </row>
    <row r="33" spans="1:7" ht="12" customHeight="1" x14ac:dyDescent="0.25">
      <c r="A33" s="23" t="s">
        <v>359</v>
      </c>
      <c r="B33" s="34" t="s">
        <v>36</v>
      </c>
      <c r="C33" s="24">
        <v>2</v>
      </c>
      <c r="D33" s="24">
        <v>2</v>
      </c>
      <c r="E33" s="15">
        <v>0</v>
      </c>
      <c r="F33" s="15">
        <v>1</v>
      </c>
      <c r="G33" s="15">
        <v>1</v>
      </c>
    </row>
    <row r="34" spans="1:7" ht="12" customHeight="1" x14ac:dyDescent="0.25">
      <c r="A34" s="23" t="s">
        <v>360</v>
      </c>
      <c r="B34" s="34" t="s">
        <v>21</v>
      </c>
      <c r="C34" s="24">
        <v>2</v>
      </c>
      <c r="D34" s="24">
        <v>2</v>
      </c>
      <c r="E34" s="15">
        <v>0</v>
      </c>
      <c r="F34" s="15">
        <v>1</v>
      </c>
      <c r="G34" s="15">
        <v>1</v>
      </c>
    </row>
    <row r="35" spans="1:7" ht="12" customHeight="1" x14ac:dyDescent="0.25">
      <c r="A35" s="23" t="s">
        <v>361</v>
      </c>
      <c r="B35" s="34" t="s">
        <v>37</v>
      </c>
      <c r="C35" s="24">
        <v>2</v>
      </c>
      <c r="D35" s="24">
        <v>2</v>
      </c>
      <c r="E35" s="15">
        <v>0</v>
      </c>
      <c r="F35" s="15">
        <v>1</v>
      </c>
      <c r="G35" s="15">
        <v>1</v>
      </c>
    </row>
    <row r="36" spans="1:7" ht="12" customHeight="1" x14ac:dyDescent="0.25">
      <c r="A36" s="25" t="s">
        <v>362</v>
      </c>
      <c r="B36" s="34" t="s">
        <v>38</v>
      </c>
      <c r="C36" s="25">
        <v>2</v>
      </c>
      <c r="D36" s="25">
        <v>3</v>
      </c>
      <c r="E36" s="15">
        <v>0</v>
      </c>
      <c r="F36" s="15">
        <v>2</v>
      </c>
      <c r="G36" s="15">
        <v>1</v>
      </c>
    </row>
    <row r="37" spans="1:7" ht="12" customHeight="1" x14ac:dyDescent="0.25">
      <c r="A37" s="25" t="s">
        <v>363</v>
      </c>
      <c r="B37" s="34" t="s">
        <v>19</v>
      </c>
      <c r="C37" s="25">
        <v>2</v>
      </c>
      <c r="D37" s="25">
        <v>2</v>
      </c>
      <c r="E37" s="15">
        <v>0</v>
      </c>
      <c r="F37" s="15">
        <v>1</v>
      </c>
      <c r="G37" s="15">
        <v>1</v>
      </c>
    </row>
    <row r="38" spans="1:7" ht="12" customHeight="1" x14ac:dyDescent="0.25">
      <c r="A38" s="25" t="s">
        <v>364</v>
      </c>
      <c r="B38" s="34" t="s">
        <v>39</v>
      </c>
      <c r="C38" s="25">
        <v>2</v>
      </c>
      <c r="D38" s="25">
        <v>2</v>
      </c>
      <c r="E38" s="15">
        <v>1</v>
      </c>
      <c r="F38" s="15">
        <v>1</v>
      </c>
      <c r="G38" s="15">
        <v>0</v>
      </c>
    </row>
    <row r="39" spans="1:7" ht="12" customHeight="1" x14ac:dyDescent="0.25">
      <c r="A39" s="25" t="s">
        <v>365</v>
      </c>
      <c r="B39" s="34" t="s">
        <v>40</v>
      </c>
      <c r="C39" s="25">
        <v>2</v>
      </c>
      <c r="D39" s="25">
        <v>2</v>
      </c>
      <c r="E39" s="15">
        <v>1</v>
      </c>
      <c r="F39" s="15">
        <v>1</v>
      </c>
      <c r="G39" s="15">
        <v>0</v>
      </c>
    </row>
    <row r="40" spans="1:7" ht="12" customHeight="1" x14ac:dyDescent="0.25">
      <c r="A40" s="25" t="s">
        <v>366</v>
      </c>
      <c r="B40" s="34" t="s">
        <v>41</v>
      </c>
      <c r="C40" s="25">
        <v>2</v>
      </c>
      <c r="D40" s="25">
        <v>2</v>
      </c>
      <c r="E40" s="15">
        <v>0</v>
      </c>
      <c r="F40" s="15">
        <v>1</v>
      </c>
      <c r="G40" s="15">
        <v>1</v>
      </c>
    </row>
    <row r="41" spans="1:7" ht="12" customHeight="1" x14ac:dyDescent="0.25">
      <c r="A41" s="25" t="s">
        <v>367</v>
      </c>
      <c r="B41" s="34" t="s">
        <v>10</v>
      </c>
      <c r="C41" s="25">
        <v>2</v>
      </c>
      <c r="D41" s="25">
        <v>2</v>
      </c>
      <c r="E41" s="15">
        <v>0</v>
      </c>
      <c r="F41" s="15">
        <v>2</v>
      </c>
      <c r="G41" s="15">
        <v>0</v>
      </c>
    </row>
    <row r="42" spans="1:7" ht="12" customHeight="1" x14ac:dyDescent="0.25">
      <c r="A42" s="25" t="s">
        <v>368</v>
      </c>
      <c r="B42" s="34" t="s">
        <v>43</v>
      </c>
      <c r="C42" s="25">
        <v>2</v>
      </c>
      <c r="D42" s="25">
        <v>2</v>
      </c>
      <c r="E42" s="15">
        <v>1</v>
      </c>
      <c r="F42" s="15">
        <v>1</v>
      </c>
      <c r="G42" s="15">
        <v>0</v>
      </c>
    </row>
    <row r="43" spans="1:7" ht="12" customHeight="1" x14ac:dyDescent="0.25">
      <c r="A43" s="25" t="s">
        <v>369</v>
      </c>
      <c r="B43" s="34" t="s">
        <v>42</v>
      </c>
      <c r="C43" s="25">
        <v>2</v>
      </c>
      <c r="D43" s="25">
        <v>2</v>
      </c>
      <c r="E43" s="15">
        <v>1</v>
      </c>
      <c r="F43" s="15">
        <v>1</v>
      </c>
      <c r="G43" s="15">
        <v>0</v>
      </c>
    </row>
    <row r="44" spans="1:7" ht="12" customHeight="1" x14ac:dyDescent="0.25">
      <c r="A44" s="26" t="s">
        <v>370</v>
      </c>
      <c r="B44" s="34" t="s">
        <v>13</v>
      </c>
      <c r="C44" s="27">
        <v>2</v>
      </c>
      <c r="D44" s="26">
        <v>2</v>
      </c>
      <c r="E44" s="15">
        <v>0</v>
      </c>
      <c r="F44" s="15">
        <v>1</v>
      </c>
      <c r="G44" s="15">
        <v>1</v>
      </c>
    </row>
    <row r="45" spans="1:7" ht="12" customHeight="1" x14ac:dyDescent="0.25">
      <c r="A45" s="26" t="s">
        <v>371</v>
      </c>
      <c r="B45" s="34" t="s">
        <v>44</v>
      </c>
      <c r="C45" s="27">
        <v>2</v>
      </c>
      <c r="D45" s="26">
        <v>2</v>
      </c>
      <c r="E45" s="15">
        <v>0</v>
      </c>
      <c r="F45" s="15">
        <v>1</v>
      </c>
      <c r="G45" s="15">
        <v>1</v>
      </c>
    </row>
    <row r="46" spans="1:7" ht="12" customHeight="1" x14ac:dyDescent="0.25">
      <c r="A46" s="26" t="s">
        <v>372</v>
      </c>
      <c r="B46" s="34" t="s">
        <v>14</v>
      </c>
      <c r="C46" s="27">
        <v>2</v>
      </c>
      <c r="D46" s="26">
        <v>2</v>
      </c>
      <c r="E46" s="15">
        <v>1</v>
      </c>
      <c r="F46" s="15">
        <v>1</v>
      </c>
      <c r="G46" s="15">
        <v>0</v>
      </c>
    </row>
    <row r="47" spans="1:7" ht="12" customHeight="1" x14ac:dyDescent="0.25">
      <c r="A47" s="26" t="s">
        <v>373</v>
      </c>
      <c r="B47" s="34" t="s">
        <v>15</v>
      </c>
      <c r="C47" s="27">
        <v>2</v>
      </c>
      <c r="D47" s="26">
        <v>2</v>
      </c>
      <c r="E47" s="15">
        <v>1</v>
      </c>
      <c r="F47" s="15">
        <v>1</v>
      </c>
      <c r="G47" s="15">
        <v>0</v>
      </c>
    </row>
    <row r="48" spans="1:7" ht="12" customHeight="1" x14ac:dyDescent="0.25">
      <c r="A48" s="26" t="s">
        <v>374</v>
      </c>
      <c r="B48" s="34" t="s">
        <v>45</v>
      </c>
      <c r="C48" s="27">
        <v>2</v>
      </c>
      <c r="D48" s="26">
        <v>2</v>
      </c>
      <c r="E48" s="15">
        <v>1</v>
      </c>
      <c r="F48" s="15">
        <v>1</v>
      </c>
      <c r="G48" s="15">
        <v>0</v>
      </c>
    </row>
    <row r="49" spans="1:8" ht="12" customHeight="1" x14ac:dyDescent="0.25">
      <c r="A49" s="26" t="s">
        <v>375</v>
      </c>
      <c r="B49" s="34" t="s">
        <v>20</v>
      </c>
      <c r="C49" s="27">
        <v>2</v>
      </c>
      <c r="D49" s="26">
        <v>2</v>
      </c>
      <c r="E49" s="15">
        <v>1</v>
      </c>
      <c r="F49" s="15">
        <v>1</v>
      </c>
      <c r="G49" s="15">
        <v>0</v>
      </c>
    </row>
    <row r="50" spans="1:8" ht="12" customHeight="1" x14ac:dyDescent="0.25">
      <c r="A50" s="26" t="s">
        <v>376</v>
      </c>
      <c r="B50" s="34" t="s">
        <v>1</v>
      </c>
      <c r="C50" s="27">
        <v>2</v>
      </c>
      <c r="D50" s="26">
        <v>2</v>
      </c>
      <c r="E50" s="15">
        <v>1</v>
      </c>
      <c r="F50" s="15">
        <v>1</v>
      </c>
      <c r="G50" s="15">
        <v>0</v>
      </c>
    </row>
    <row r="51" spans="1:8" ht="12" customHeight="1" x14ac:dyDescent="0.25">
      <c r="A51" s="26" t="s">
        <v>377</v>
      </c>
      <c r="B51" s="34" t="s">
        <v>2</v>
      </c>
      <c r="C51" s="27">
        <v>2</v>
      </c>
      <c r="D51" s="26">
        <v>2</v>
      </c>
      <c r="E51" s="15">
        <v>1</v>
      </c>
      <c r="F51" s="15">
        <v>1</v>
      </c>
      <c r="G51" s="15">
        <v>0</v>
      </c>
    </row>
    <row r="52" spans="1:8" ht="12" customHeight="1" thickBot="1" x14ac:dyDescent="0.3">
      <c r="A52" s="28"/>
      <c r="B52" s="29" t="s">
        <v>99</v>
      </c>
      <c r="C52" s="36">
        <f>SUM(C4:C51)</f>
        <v>96</v>
      </c>
      <c r="D52" s="36">
        <f>SUM(D4:D51)</f>
        <v>100</v>
      </c>
      <c r="E52" s="36">
        <f t="shared" ref="E52:G52" si="0">SUM(E4:E51)</f>
        <v>30</v>
      </c>
      <c r="F52" s="36">
        <f t="shared" si="0"/>
        <v>50</v>
      </c>
      <c r="G52" s="36">
        <f t="shared" si="0"/>
        <v>20</v>
      </c>
      <c r="H52" s="30">
        <f>SUM(E52:G52)</f>
        <v>100</v>
      </c>
    </row>
    <row r="53" spans="1:8" ht="12" customHeight="1" thickTop="1" x14ac:dyDescent="0.25"/>
    <row r="54" spans="1:8" ht="12" customHeight="1" x14ac:dyDescent="0.25">
      <c r="A54" s="32"/>
      <c r="B54" s="32"/>
    </row>
    <row r="55" spans="1:8" ht="12" customHeight="1" x14ac:dyDescent="0.25">
      <c r="A55" s="32"/>
      <c r="B55" s="32"/>
    </row>
    <row r="56" spans="1:8" ht="12" customHeight="1" x14ac:dyDescent="0.25">
      <c r="A56" s="32"/>
      <c r="B56" s="32"/>
    </row>
    <row r="57" spans="1:8" ht="12" customHeight="1" x14ac:dyDescent="0.25">
      <c r="A57" s="32"/>
      <c r="B57" s="32"/>
    </row>
    <row r="58" spans="1:8" ht="12" customHeight="1" x14ac:dyDescent="0.25">
      <c r="A58" s="32"/>
      <c r="B58" s="32"/>
    </row>
    <row r="59" spans="1:8" ht="12" customHeight="1" x14ac:dyDescent="0.25">
      <c r="A59" s="32"/>
      <c r="B59" s="32"/>
    </row>
    <row r="60" spans="1:8" ht="12" customHeight="1" x14ac:dyDescent="0.25">
      <c r="A60" s="32"/>
      <c r="B60" s="32"/>
    </row>
  </sheetData>
  <mergeCells count="1">
    <mergeCell ref="A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50"/>
  <sheetViews>
    <sheetView tabSelected="1" topLeftCell="A439" workbookViewId="0">
      <selection activeCell="A500" sqref="A451:XFD500"/>
    </sheetView>
  </sheetViews>
  <sheetFormatPr defaultColWidth="8.88671875" defaultRowHeight="16.2" customHeight="1" x14ac:dyDescent="0.3"/>
  <cols>
    <col min="1" max="4" width="100" style="98" customWidth="1"/>
    <col min="5" max="16384" width="8.88671875" style="98"/>
  </cols>
  <sheetData>
    <row r="1" spans="1:2" s="80" customFormat="1" ht="16.2" customHeight="1" x14ac:dyDescent="0.3">
      <c r="A1" s="87" t="s">
        <v>486</v>
      </c>
      <c r="B1" s="96"/>
    </row>
    <row r="2" spans="1:2" s="80" customFormat="1" ht="16.2" customHeight="1" x14ac:dyDescent="0.3">
      <c r="A2" s="89" t="s">
        <v>126</v>
      </c>
      <c r="B2" s="86"/>
    </row>
    <row r="3" spans="1:2" s="80" customFormat="1" ht="16.2" customHeight="1" x14ac:dyDescent="0.3">
      <c r="A3" s="89" t="s">
        <v>127</v>
      </c>
      <c r="B3" s="86"/>
    </row>
    <row r="4" spans="1:2" s="80" customFormat="1" ht="16.2" customHeight="1" x14ac:dyDescent="0.3">
      <c r="A4" s="89" t="s">
        <v>128</v>
      </c>
      <c r="B4" s="86"/>
    </row>
    <row r="5" spans="1:2" s="80" customFormat="1" ht="16.2" customHeight="1" x14ac:dyDescent="0.3">
      <c r="A5" s="89" t="s">
        <v>129</v>
      </c>
      <c r="B5" s="86"/>
    </row>
    <row r="6" spans="1:2" s="80" customFormat="1" ht="16.2" customHeight="1" x14ac:dyDescent="0.3">
      <c r="A6" s="89" t="s">
        <v>131</v>
      </c>
      <c r="B6" s="86"/>
    </row>
    <row r="7" spans="1:2" s="80" customFormat="1" ht="16.2" customHeight="1" x14ac:dyDescent="0.3">
      <c r="A7" s="89" t="s">
        <v>132</v>
      </c>
      <c r="B7" s="81"/>
    </row>
    <row r="8" spans="1:2" s="80" customFormat="1" ht="16.2" customHeight="1" x14ac:dyDescent="0.3">
      <c r="A8" s="89" t="s">
        <v>133</v>
      </c>
      <c r="B8" s="86"/>
    </row>
    <row r="9" spans="1:2" s="80" customFormat="1" ht="16.2" customHeight="1" x14ac:dyDescent="0.3">
      <c r="A9" s="89" t="s">
        <v>487</v>
      </c>
      <c r="B9" s="81"/>
    </row>
    <row r="10" spans="1:2" s="80" customFormat="1" ht="16.2" customHeight="1" x14ac:dyDescent="0.3">
      <c r="A10" s="89" t="s">
        <v>134</v>
      </c>
      <c r="B10" s="81"/>
    </row>
    <row r="11" spans="1:2" s="80" customFormat="1" ht="16.2" customHeight="1" x14ac:dyDescent="0.3">
      <c r="A11" s="89" t="s">
        <v>488</v>
      </c>
      <c r="B11" s="86"/>
    </row>
    <row r="12" spans="1:2" s="80" customFormat="1" ht="16.2" customHeight="1" x14ac:dyDescent="0.3">
      <c r="A12" s="89" t="s">
        <v>135</v>
      </c>
      <c r="B12" s="81"/>
    </row>
    <row r="13" spans="1:2" s="80" customFormat="1" ht="16.2" customHeight="1" x14ac:dyDescent="0.3">
      <c r="A13" s="88" t="s">
        <v>489</v>
      </c>
      <c r="B13" s="81"/>
    </row>
    <row r="14" spans="1:2" s="80" customFormat="1" ht="16.2" customHeight="1" x14ac:dyDescent="0.3">
      <c r="A14" s="89" t="s">
        <v>136</v>
      </c>
      <c r="B14" s="81"/>
    </row>
    <row r="15" spans="1:2" s="80" customFormat="1" ht="16.2" customHeight="1" x14ac:dyDescent="0.3">
      <c r="A15" s="89" t="s">
        <v>490</v>
      </c>
      <c r="B15" s="81"/>
    </row>
    <row r="16" spans="1:2" s="80" customFormat="1" ht="16.2" customHeight="1" x14ac:dyDescent="0.3">
      <c r="A16" s="89" t="s">
        <v>621</v>
      </c>
      <c r="B16" s="81"/>
    </row>
    <row r="17" spans="1:2" s="80" customFormat="1" ht="16.2" customHeight="1" x14ac:dyDescent="0.3">
      <c r="A17" s="89" t="s">
        <v>491</v>
      </c>
      <c r="B17" s="81"/>
    </row>
    <row r="18" spans="1:2" s="80" customFormat="1" ht="16.2" customHeight="1" x14ac:dyDescent="0.3">
      <c r="A18" s="89" t="s">
        <v>137</v>
      </c>
      <c r="B18" s="86"/>
    </row>
    <row r="19" spans="1:2" s="80" customFormat="1" ht="16.2" customHeight="1" x14ac:dyDescent="0.3">
      <c r="A19" s="89" t="s">
        <v>138</v>
      </c>
      <c r="B19" s="86"/>
    </row>
    <row r="20" spans="1:2" s="80" customFormat="1" ht="16.2" customHeight="1" x14ac:dyDescent="0.3">
      <c r="A20" s="89" t="s">
        <v>139</v>
      </c>
      <c r="B20" s="86"/>
    </row>
    <row r="21" spans="1:2" s="80" customFormat="1" ht="16.2" customHeight="1" x14ac:dyDescent="0.3">
      <c r="A21" s="89" t="s">
        <v>140</v>
      </c>
      <c r="B21" s="86"/>
    </row>
    <row r="22" spans="1:2" s="80" customFormat="1" ht="16.2" customHeight="1" x14ac:dyDescent="0.3">
      <c r="A22" s="89" t="s">
        <v>141</v>
      </c>
      <c r="B22" s="86"/>
    </row>
    <row r="23" spans="1:2" s="80" customFormat="1" ht="16.2" customHeight="1" x14ac:dyDescent="0.3">
      <c r="A23" s="89" t="s">
        <v>492</v>
      </c>
      <c r="B23" s="81"/>
    </row>
    <row r="24" spans="1:2" s="80" customFormat="1" ht="16.2" customHeight="1" x14ac:dyDescent="0.3">
      <c r="A24" s="89" t="s">
        <v>142</v>
      </c>
      <c r="B24" s="86"/>
    </row>
    <row r="25" spans="1:2" s="80" customFormat="1" ht="16.2" customHeight="1" x14ac:dyDescent="0.3">
      <c r="A25" s="89" t="s">
        <v>143</v>
      </c>
      <c r="B25" s="86"/>
    </row>
    <row r="26" spans="1:2" s="80" customFormat="1" ht="16.2" customHeight="1" x14ac:dyDescent="0.3">
      <c r="A26" s="87" t="s">
        <v>493</v>
      </c>
      <c r="B26" s="81"/>
    </row>
    <row r="27" spans="1:2" s="80" customFormat="1" ht="16.2" customHeight="1" x14ac:dyDescent="0.3">
      <c r="A27" s="89" t="s">
        <v>144</v>
      </c>
      <c r="B27" s="96"/>
    </row>
    <row r="28" spans="1:2" s="80" customFormat="1" ht="16.2" customHeight="1" x14ac:dyDescent="0.3">
      <c r="A28" s="89" t="s">
        <v>481</v>
      </c>
      <c r="B28" s="86"/>
    </row>
    <row r="29" spans="1:2" s="80" customFormat="1" ht="16.2" customHeight="1" x14ac:dyDescent="0.3">
      <c r="A29" s="89" t="s">
        <v>145</v>
      </c>
      <c r="B29" s="96"/>
    </row>
    <row r="30" spans="1:2" s="80" customFormat="1" ht="16.2" customHeight="1" x14ac:dyDescent="0.3">
      <c r="A30" s="89" t="s">
        <v>146</v>
      </c>
      <c r="B30" s="81"/>
    </row>
    <row r="31" spans="1:2" s="80" customFormat="1" ht="16.2" customHeight="1" x14ac:dyDescent="0.3">
      <c r="A31" s="89" t="s">
        <v>147</v>
      </c>
      <c r="B31" s="81"/>
    </row>
    <row r="32" spans="1:2" s="80" customFormat="1" ht="16.2" customHeight="1" x14ac:dyDescent="0.3">
      <c r="A32" s="89" t="s">
        <v>148</v>
      </c>
      <c r="B32" s="81"/>
    </row>
    <row r="33" spans="1:2" s="80" customFormat="1" ht="16.2" customHeight="1" x14ac:dyDescent="0.3">
      <c r="A33" s="89" t="s">
        <v>494</v>
      </c>
      <c r="B33" s="86"/>
    </row>
    <row r="34" spans="1:2" s="80" customFormat="1" ht="16.2" customHeight="1" x14ac:dyDescent="0.3">
      <c r="A34" s="89" t="s">
        <v>495</v>
      </c>
      <c r="B34" s="86"/>
    </row>
    <row r="35" spans="1:2" s="80" customFormat="1" ht="16.2" customHeight="1" x14ac:dyDescent="0.3">
      <c r="A35" s="87" t="s">
        <v>496</v>
      </c>
      <c r="B35" s="86"/>
    </row>
    <row r="36" spans="1:2" s="80" customFormat="1" ht="16.2" customHeight="1" x14ac:dyDescent="0.3">
      <c r="A36" s="89" t="s">
        <v>149</v>
      </c>
      <c r="B36" s="86"/>
    </row>
    <row r="37" spans="1:2" s="80" customFormat="1" ht="16.2" customHeight="1" x14ac:dyDescent="0.3">
      <c r="A37" s="89" t="s">
        <v>150</v>
      </c>
      <c r="B37" s="86"/>
    </row>
    <row r="38" spans="1:2" s="80" customFormat="1" ht="16.2" customHeight="1" x14ac:dyDescent="0.3">
      <c r="A38" s="89" t="s">
        <v>151</v>
      </c>
      <c r="B38" s="86"/>
    </row>
    <row r="39" spans="1:2" s="80" customFormat="1" ht="16.2" customHeight="1" x14ac:dyDescent="0.3">
      <c r="A39" s="89" t="s">
        <v>152</v>
      </c>
      <c r="B39" s="86"/>
    </row>
    <row r="40" spans="1:2" s="80" customFormat="1" ht="16.2" customHeight="1" x14ac:dyDescent="0.3">
      <c r="A40" s="89" t="s">
        <v>497</v>
      </c>
      <c r="B40" s="86"/>
    </row>
    <row r="41" spans="1:2" s="80" customFormat="1" ht="16.2" customHeight="1" x14ac:dyDescent="0.3">
      <c r="A41" s="89" t="s">
        <v>153</v>
      </c>
      <c r="B41" s="86"/>
    </row>
    <row r="42" spans="1:2" s="80" customFormat="1" ht="16.2" customHeight="1" x14ac:dyDescent="0.3">
      <c r="A42" s="89" t="s">
        <v>154</v>
      </c>
      <c r="B42" s="86"/>
    </row>
    <row r="43" spans="1:2" s="80" customFormat="1" ht="16.2" customHeight="1" x14ac:dyDescent="0.3">
      <c r="A43" s="89" t="s">
        <v>155</v>
      </c>
      <c r="B43" s="96"/>
    </row>
    <row r="44" spans="1:2" s="80" customFormat="1" ht="16.2" customHeight="1" x14ac:dyDescent="0.3">
      <c r="A44" s="89" t="s">
        <v>156</v>
      </c>
      <c r="B44" s="86"/>
    </row>
    <row r="45" spans="1:2" s="80" customFormat="1" ht="16.2" customHeight="1" x14ac:dyDescent="0.3">
      <c r="A45" s="89" t="s">
        <v>498</v>
      </c>
      <c r="B45" s="86"/>
    </row>
    <row r="46" spans="1:2" s="80" customFormat="1" ht="16.2" customHeight="1" x14ac:dyDescent="0.3">
      <c r="A46" s="89" t="s">
        <v>157</v>
      </c>
      <c r="B46" s="96"/>
    </row>
    <row r="47" spans="1:2" s="80" customFormat="1" ht="16.2" customHeight="1" x14ac:dyDescent="0.3">
      <c r="A47" s="87" t="s">
        <v>499</v>
      </c>
      <c r="B47" s="81"/>
    </row>
    <row r="48" spans="1:2" s="80" customFormat="1" ht="16.2" customHeight="1" x14ac:dyDescent="0.3">
      <c r="A48" s="89" t="s">
        <v>158</v>
      </c>
      <c r="B48" s="81"/>
    </row>
    <row r="49" spans="1:2" s="80" customFormat="1" ht="16.2" customHeight="1" x14ac:dyDescent="0.3">
      <c r="A49" s="89" t="s">
        <v>500</v>
      </c>
      <c r="B49" s="86"/>
    </row>
    <row r="50" spans="1:2" s="80" customFormat="1" ht="16.2" customHeight="1" x14ac:dyDescent="0.3">
      <c r="A50" s="89" t="s">
        <v>159</v>
      </c>
      <c r="B50" s="86"/>
    </row>
    <row r="51" spans="1:2" s="80" customFormat="1" ht="16.2" customHeight="1" x14ac:dyDescent="0.3">
      <c r="A51" s="89" t="s">
        <v>160</v>
      </c>
      <c r="B51" s="81"/>
    </row>
    <row r="52" spans="1:2" s="80" customFormat="1" ht="16.2" customHeight="1" x14ac:dyDescent="0.3">
      <c r="A52" s="89" t="s">
        <v>161</v>
      </c>
      <c r="B52" s="86"/>
    </row>
    <row r="53" spans="1:2" s="80" customFormat="1" ht="16.2" customHeight="1" x14ac:dyDescent="0.3">
      <c r="A53" s="89" t="s">
        <v>501</v>
      </c>
      <c r="B53" s="81"/>
    </row>
    <row r="54" spans="1:2" s="80" customFormat="1" ht="16.2" customHeight="1" x14ac:dyDescent="0.3">
      <c r="A54" s="87" t="s">
        <v>502</v>
      </c>
      <c r="B54" s="81"/>
    </row>
    <row r="55" spans="1:2" s="80" customFormat="1" ht="16.2" customHeight="1" x14ac:dyDescent="0.3">
      <c r="A55" s="89" t="s">
        <v>503</v>
      </c>
      <c r="B55" s="86"/>
    </row>
    <row r="56" spans="1:2" s="80" customFormat="1" ht="16.2" customHeight="1" x14ac:dyDescent="0.3">
      <c r="A56" s="89" t="s">
        <v>162</v>
      </c>
      <c r="B56" s="86"/>
    </row>
    <row r="57" spans="1:2" s="80" customFormat="1" ht="16.2" customHeight="1" x14ac:dyDescent="0.3">
      <c r="A57" s="89" t="s">
        <v>163</v>
      </c>
      <c r="B57" s="86"/>
    </row>
    <row r="58" spans="1:2" s="80" customFormat="1" ht="16.2" customHeight="1" x14ac:dyDescent="0.3">
      <c r="A58" s="89" t="s">
        <v>164</v>
      </c>
      <c r="B58" s="86"/>
    </row>
    <row r="59" spans="1:2" s="80" customFormat="1" ht="16.2" customHeight="1" x14ac:dyDescent="0.3">
      <c r="A59" s="89" t="s">
        <v>504</v>
      </c>
      <c r="B59" s="81"/>
    </row>
    <row r="60" spans="1:2" s="80" customFormat="1" ht="16.2" customHeight="1" x14ac:dyDescent="0.3">
      <c r="A60" s="89" t="s">
        <v>505</v>
      </c>
      <c r="B60" s="86"/>
    </row>
    <row r="61" spans="1:2" s="80" customFormat="1" ht="16.2" customHeight="1" x14ac:dyDescent="0.3">
      <c r="A61" s="89" t="s">
        <v>506</v>
      </c>
      <c r="B61" s="85"/>
    </row>
    <row r="62" spans="1:2" s="80" customFormat="1" ht="16.2" customHeight="1" x14ac:dyDescent="0.3">
      <c r="A62" s="89" t="s">
        <v>507</v>
      </c>
      <c r="B62" s="86"/>
    </row>
    <row r="63" spans="1:2" s="80" customFormat="1" ht="16.2" customHeight="1" x14ac:dyDescent="0.3">
      <c r="A63" s="89" t="s">
        <v>508</v>
      </c>
      <c r="B63" s="86"/>
    </row>
    <row r="64" spans="1:2" s="80" customFormat="1" ht="16.2" customHeight="1" x14ac:dyDescent="0.3">
      <c r="A64" s="87" t="s">
        <v>509</v>
      </c>
      <c r="B64" s="86"/>
    </row>
    <row r="65" spans="1:2" s="80" customFormat="1" ht="16.2" customHeight="1" x14ac:dyDescent="0.3">
      <c r="A65" s="89" t="s">
        <v>165</v>
      </c>
      <c r="B65" s="86"/>
    </row>
    <row r="66" spans="1:2" s="80" customFormat="1" ht="16.2" customHeight="1" x14ac:dyDescent="0.3">
      <c r="A66" s="87" t="s">
        <v>510</v>
      </c>
      <c r="B66" s="86"/>
    </row>
    <row r="67" spans="1:2" s="80" customFormat="1" ht="16.2" customHeight="1" x14ac:dyDescent="0.3">
      <c r="A67" s="89" t="s">
        <v>511</v>
      </c>
      <c r="B67" s="85"/>
    </row>
    <row r="68" spans="1:2" s="80" customFormat="1" ht="16.2" customHeight="1" x14ac:dyDescent="0.3">
      <c r="A68" s="87" t="s">
        <v>512</v>
      </c>
      <c r="B68" s="81"/>
    </row>
    <row r="69" spans="1:2" s="80" customFormat="1" ht="16.2" customHeight="1" x14ac:dyDescent="0.3">
      <c r="A69" s="89" t="s">
        <v>513</v>
      </c>
      <c r="B69" s="81"/>
    </row>
    <row r="70" spans="1:2" s="80" customFormat="1" ht="16.2" customHeight="1" x14ac:dyDescent="0.3">
      <c r="A70" s="89" t="s">
        <v>514</v>
      </c>
      <c r="B70" s="97"/>
    </row>
    <row r="71" spans="1:2" s="80" customFormat="1" ht="16.2" customHeight="1" x14ac:dyDescent="0.3">
      <c r="A71" s="89" t="s">
        <v>515</v>
      </c>
      <c r="B71" s="81"/>
    </row>
    <row r="72" spans="1:2" s="80" customFormat="1" ht="16.2" customHeight="1" x14ac:dyDescent="0.3">
      <c r="A72" s="89" t="s">
        <v>166</v>
      </c>
      <c r="B72" s="86"/>
    </row>
    <row r="73" spans="1:2" s="80" customFormat="1" ht="16.2" customHeight="1" x14ac:dyDescent="0.3">
      <c r="A73" s="89" t="s">
        <v>516</v>
      </c>
      <c r="B73" s="81"/>
    </row>
    <row r="74" spans="1:2" s="80" customFormat="1" ht="16.2" customHeight="1" x14ac:dyDescent="0.3">
      <c r="A74" s="87" t="s">
        <v>517</v>
      </c>
      <c r="B74" s="81"/>
    </row>
    <row r="75" spans="1:2" s="80" customFormat="1" ht="16.2" customHeight="1" x14ac:dyDescent="0.3">
      <c r="A75" s="89" t="s">
        <v>167</v>
      </c>
      <c r="B75" s="86"/>
    </row>
    <row r="76" spans="1:2" s="80" customFormat="1" ht="16.2" customHeight="1" x14ac:dyDescent="0.3">
      <c r="A76" s="89" t="s">
        <v>168</v>
      </c>
      <c r="B76" s="86"/>
    </row>
    <row r="77" spans="1:2" s="80" customFormat="1" ht="16.2" customHeight="1" x14ac:dyDescent="0.3">
      <c r="A77" s="87" t="s">
        <v>518</v>
      </c>
      <c r="B77" s="81"/>
    </row>
    <row r="78" spans="1:2" s="80" customFormat="1" ht="16.2" customHeight="1" x14ac:dyDescent="0.3">
      <c r="A78" s="89" t="s">
        <v>169</v>
      </c>
      <c r="B78" s="86"/>
    </row>
    <row r="79" spans="1:2" s="80" customFormat="1" ht="16.2" customHeight="1" x14ac:dyDescent="0.3">
      <c r="A79" s="89" t="s">
        <v>170</v>
      </c>
      <c r="B79" s="86"/>
    </row>
    <row r="80" spans="1:2" s="80" customFormat="1" ht="16.2" customHeight="1" x14ac:dyDescent="0.3">
      <c r="A80" s="89" t="s">
        <v>519</v>
      </c>
      <c r="B80" s="86"/>
    </row>
    <row r="81" spans="1:2" s="80" customFormat="1" ht="16.2" customHeight="1" x14ac:dyDescent="0.3">
      <c r="A81" s="89" t="s">
        <v>171</v>
      </c>
      <c r="B81" s="81"/>
    </row>
    <row r="82" spans="1:2" s="80" customFormat="1" ht="16.2" customHeight="1" x14ac:dyDescent="0.3">
      <c r="A82" s="89" t="s">
        <v>172</v>
      </c>
      <c r="B82" s="81"/>
    </row>
    <row r="83" spans="1:2" s="80" customFormat="1" ht="16.2" customHeight="1" x14ac:dyDescent="0.3">
      <c r="A83" s="89" t="s">
        <v>173</v>
      </c>
      <c r="B83" s="81"/>
    </row>
    <row r="84" spans="1:2" s="80" customFormat="1" ht="16.2" customHeight="1" x14ac:dyDescent="0.3">
      <c r="A84" s="89" t="s">
        <v>174</v>
      </c>
      <c r="B84" s="96"/>
    </row>
    <row r="85" spans="1:2" s="80" customFormat="1" ht="16.2" customHeight="1" x14ac:dyDescent="0.3">
      <c r="A85" s="87" t="s">
        <v>520</v>
      </c>
      <c r="B85" s="86"/>
    </row>
    <row r="86" spans="1:2" s="80" customFormat="1" ht="16.2" customHeight="1" x14ac:dyDescent="0.3">
      <c r="A86" s="89" t="s">
        <v>521</v>
      </c>
      <c r="B86" s="86"/>
    </row>
    <row r="87" spans="1:2" s="80" customFormat="1" ht="16.2" customHeight="1" x14ac:dyDescent="0.3">
      <c r="A87" s="89" t="s">
        <v>522</v>
      </c>
      <c r="B87" s="86"/>
    </row>
    <row r="88" spans="1:2" s="80" customFormat="1" ht="16.2" customHeight="1" x14ac:dyDescent="0.3">
      <c r="A88" s="89" t="s">
        <v>523</v>
      </c>
      <c r="B88" s="81"/>
    </row>
    <row r="89" spans="1:2" s="80" customFormat="1" ht="16.2" customHeight="1" x14ac:dyDescent="0.3">
      <c r="A89" s="89" t="s">
        <v>175</v>
      </c>
      <c r="B89" s="96"/>
    </row>
    <row r="90" spans="1:2" s="80" customFormat="1" ht="16.2" customHeight="1" x14ac:dyDescent="0.3">
      <c r="A90" s="89" t="s">
        <v>524</v>
      </c>
      <c r="B90" s="81"/>
    </row>
    <row r="91" spans="1:2" s="80" customFormat="1" ht="16.2" customHeight="1" x14ac:dyDescent="0.3">
      <c r="A91" s="89" t="s">
        <v>525</v>
      </c>
      <c r="B91" s="81"/>
    </row>
    <row r="92" spans="1:2" s="80" customFormat="1" ht="16.2" customHeight="1" x14ac:dyDescent="0.3">
      <c r="A92" s="89" t="s">
        <v>482</v>
      </c>
      <c r="B92" s="86"/>
    </row>
    <row r="93" spans="1:2" s="80" customFormat="1" ht="16.2" customHeight="1" x14ac:dyDescent="0.3">
      <c r="A93" s="89" t="s">
        <v>176</v>
      </c>
      <c r="B93" s="86"/>
    </row>
    <row r="94" spans="1:2" s="80" customFormat="1" ht="16.2" customHeight="1" x14ac:dyDescent="0.3">
      <c r="A94" s="87" t="s">
        <v>526</v>
      </c>
      <c r="B94" s="86"/>
    </row>
    <row r="95" spans="1:2" s="80" customFormat="1" ht="16.2" customHeight="1" x14ac:dyDescent="0.3">
      <c r="A95" s="89" t="s">
        <v>177</v>
      </c>
      <c r="B95" s="86"/>
    </row>
    <row r="96" spans="1:2" s="80" customFormat="1" ht="16.2" customHeight="1" x14ac:dyDescent="0.3">
      <c r="A96" s="89" t="s">
        <v>178</v>
      </c>
      <c r="B96" s="86"/>
    </row>
    <row r="97" spans="1:2" s="80" customFormat="1" ht="16.2" customHeight="1" x14ac:dyDescent="0.3">
      <c r="A97" s="89" t="s">
        <v>527</v>
      </c>
      <c r="B97" s="86"/>
    </row>
    <row r="98" spans="1:2" s="80" customFormat="1" ht="16.2" customHeight="1" x14ac:dyDescent="0.3">
      <c r="A98" s="89" t="s">
        <v>179</v>
      </c>
      <c r="B98" s="86"/>
    </row>
    <row r="99" spans="1:2" s="80" customFormat="1" ht="16.2" customHeight="1" x14ac:dyDescent="0.3">
      <c r="A99" s="89" t="s">
        <v>180</v>
      </c>
      <c r="B99" s="85"/>
    </row>
    <row r="100" spans="1:2" s="80" customFormat="1" ht="16.2" customHeight="1" x14ac:dyDescent="0.3">
      <c r="A100" s="89" t="s">
        <v>528</v>
      </c>
      <c r="B100" s="86"/>
    </row>
    <row r="101" spans="1:2" ht="16.2" customHeight="1" x14ac:dyDescent="0.3">
      <c r="A101" s="84" t="s">
        <v>187</v>
      </c>
    </row>
    <row r="102" spans="1:2" ht="16.2" customHeight="1" x14ac:dyDescent="0.3">
      <c r="A102" s="84" t="s">
        <v>188</v>
      </c>
    </row>
    <row r="103" spans="1:2" ht="16.2" customHeight="1" x14ac:dyDescent="0.3">
      <c r="A103" s="84" t="s">
        <v>189</v>
      </c>
    </row>
    <row r="104" spans="1:2" ht="16.2" customHeight="1" x14ac:dyDescent="0.3">
      <c r="A104" s="84" t="s">
        <v>190</v>
      </c>
    </row>
    <row r="105" spans="1:2" ht="16.2" customHeight="1" x14ac:dyDescent="0.3">
      <c r="A105" s="89" t="s">
        <v>191</v>
      </c>
    </row>
    <row r="106" spans="1:2" ht="16.2" customHeight="1" x14ac:dyDescent="0.3">
      <c r="A106" s="89" t="s">
        <v>192</v>
      </c>
    </row>
    <row r="107" spans="1:2" ht="16.2" customHeight="1" x14ac:dyDescent="0.3">
      <c r="A107" s="84" t="s">
        <v>193</v>
      </c>
    </row>
    <row r="108" spans="1:2" ht="16.2" customHeight="1" x14ac:dyDescent="0.3">
      <c r="A108" s="90" t="s">
        <v>469</v>
      </c>
    </row>
    <row r="109" spans="1:2" ht="16.2" customHeight="1" x14ac:dyDescent="0.3">
      <c r="A109" s="90" t="s">
        <v>470</v>
      </c>
    </row>
    <row r="110" spans="1:2" ht="16.2" customHeight="1" x14ac:dyDescent="0.3">
      <c r="A110" s="87" t="s">
        <v>471</v>
      </c>
    </row>
    <row r="111" spans="1:2" ht="16.2" customHeight="1" x14ac:dyDescent="0.3">
      <c r="A111" s="89" t="s">
        <v>529</v>
      </c>
    </row>
    <row r="112" spans="1:2" ht="16.2" customHeight="1" x14ac:dyDescent="0.3">
      <c r="A112" s="84" t="s">
        <v>530</v>
      </c>
    </row>
    <row r="113" spans="1:1" ht="16.2" customHeight="1" x14ac:dyDescent="0.3">
      <c r="A113" s="92" t="s">
        <v>194</v>
      </c>
    </row>
    <row r="114" spans="1:1" ht="16.2" customHeight="1" x14ac:dyDescent="0.3">
      <c r="A114" s="92" t="s">
        <v>195</v>
      </c>
    </row>
    <row r="115" spans="1:1" ht="16.2" customHeight="1" x14ac:dyDescent="0.3">
      <c r="A115" s="89" t="s">
        <v>196</v>
      </c>
    </row>
    <row r="116" spans="1:1" ht="16.2" customHeight="1" x14ac:dyDescent="0.3">
      <c r="A116" s="84" t="s">
        <v>197</v>
      </c>
    </row>
    <row r="117" spans="1:1" ht="16.2" customHeight="1" x14ac:dyDescent="0.3">
      <c r="A117" s="89" t="s">
        <v>531</v>
      </c>
    </row>
    <row r="118" spans="1:1" ht="16.2" customHeight="1" x14ac:dyDescent="0.3">
      <c r="A118" s="84" t="s">
        <v>198</v>
      </c>
    </row>
    <row r="119" spans="1:1" ht="16.2" customHeight="1" x14ac:dyDescent="0.3">
      <c r="A119" s="84" t="s">
        <v>199</v>
      </c>
    </row>
    <row r="120" spans="1:1" ht="16.2" customHeight="1" x14ac:dyDescent="0.3">
      <c r="A120" s="84" t="s">
        <v>200</v>
      </c>
    </row>
    <row r="121" spans="1:1" ht="16.2" customHeight="1" x14ac:dyDescent="0.3">
      <c r="A121" s="91" t="s">
        <v>532</v>
      </c>
    </row>
    <row r="122" spans="1:1" ht="16.2" customHeight="1" x14ac:dyDescent="0.3">
      <c r="A122" s="84" t="s">
        <v>201</v>
      </c>
    </row>
    <row r="123" spans="1:1" ht="16.2" customHeight="1" x14ac:dyDescent="0.3">
      <c r="A123" s="89" t="s">
        <v>202</v>
      </c>
    </row>
    <row r="124" spans="1:1" ht="16.2" customHeight="1" x14ac:dyDescent="0.3">
      <c r="A124" s="84" t="s">
        <v>181</v>
      </c>
    </row>
    <row r="125" spans="1:1" ht="16.2" customHeight="1" x14ac:dyDescent="0.3">
      <c r="A125" s="89" t="s">
        <v>203</v>
      </c>
    </row>
    <row r="126" spans="1:1" ht="16.2" customHeight="1" x14ac:dyDescent="0.3">
      <c r="A126" s="84" t="s">
        <v>204</v>
      </c>
    </row>
    <row r="127" spans="1:1" ht="16.2" customHeight="1" x14ac:dyDescent="0.3">
      <c r="A127" s="89" t="s">
        <v>205</v>
      </c>
    </row>
    <row r="128" spans="1:1" ht="16.2" customHeight="1" x14ac:dyDescent="0.3">
      <c r="A128" s="89" t="s">
        <v>483</v>
      </c>
    </row>
    <row r="129" spans="1:1" ht="16.2" customHeight="1" x14ac:dyDescent="0.3">
      <c r="A129" s="84" t="s">
        <v>206</v>
      </c>
    </row>
    <row r="130" spans="1:1" ht="16.2" customHeight="1" x14ac:dyDescent="0.3">
      <c r="A130" s="84" t="s">
        <v>207</v>
      </c>
    </row>
    <row r="131" spans="1:1" ht="16.2" customHeight="1" x14ac:dyDescent="0.3">
      <c r="A131" s="89" t="s">
        <v>208</v>
      </c>
    </row>
    <row r="132" spans="1:1" ht="16.2" customHeight="1" x14ac:dyDescent="0.3">
      <c r="A132" s="84" t="s">
        <v>209</v>
      </c>
    </row>
    <row r="133" spans="1:1" ht="16.2" customHeight="1" x14ac:dyDescent="0.3">
      <c r="A133" s="84" t="s">
        <v>210</v>
      </c>
    </row>
    <row r="134" spans="1:1" ht="16.2" customHeight="1" x14ac:dyDescent="0.3">
      <c r="A134" s="84" t="s">
        <v>533</v>
      </c>
    </row>
    <row r="135" spans="1:1" ht="16.2" customHeight="1" x14ac:dyDescent="0.3">
      <c r="A135" s="89" t="s">
        <v>211</v>
      </c>
    </row>
    <row r="136" spans="1:1" ht="16.2" customHeight="1" x14ac:dyDescent="0.3">
      <c r="A136" s="89" t="s">
        <v>212</v>
      </c>
    </row>
    <row r="137" spans="1:1" ht="16.2" customHeight="1" x14ac:dyDescent="0.3">
      <c r="A137" s="89" t="s">
        <v>213</v>
      </c>
    </row>
    <row r="138" spans="1:1" ht="16.2" customHeight="1" x14ac:dyDescent="0.3">
      <c r="A138" s="92" t="s">
        <v>214</v>
      </c>
    </row>
    <row r="139" spans="1:1" ht="16.2" customHeight="1" x14ac:dyDescent="0.3">
      <c r="A139" s="89" t="s">
        <v>154</v>
      </c>
    </row>
    <row r="140" spans="1:1" ht="16.2" customHeight="1" x14ac:dyDescent="0.3">
      <c r="A140" s="89" t="s">
        <v>152</v>
      </c>
    </row>
    <row r="141" spans="1:1" ht="16.2" customHeight="1" x14ac:dyDescent="0.3">
      <c r="A141" s="84" t="s">
        <v>215</v>
      </c>
    </row>
    <row r="142" spans="1:1" ht="16.2" customHeight="1" x14ac:dyDescent="0.3">
      <c r="A142" s="84" t="s">
        <v>216</v>
      </c>
    </row>
    <row r="143" spans="1:1" ht="16.2" customHeight="1" x14ac:dyDescent="0.3">
      <c r="A143" s="92" t="s">
        <v>217</v>
      </c>
    </row>
    <row r="144" spans="1:1" ht="16.2" customHeight="1" x14ac:dyDescent="0.3">
      <c r="A144" s="84" t="s">
        <v>218</v>
      </c>
    </row>
    <row r="145" spans="1:1" ht="16.2" customHeight="1" x14ac:dyDescent="0.3">
      <c r="A145" s="89" t="s">
        <v>219</v>
      </c>
    </row>
    <row r="146" spans="1:1" ht="16.2" customHeight="1" x14ac:dyDescent="0.3">
      <c r="A146" s="92" t="s">
        <v>220</v>
      </c>
    </row>
    <row r="147" spans="1:1" ht="16.2" customHeight="1" x14ac:dyDescent="0.3">
      <c r="A147" s="89" t="s">
        <v>221</v>
      </c>
    </row>
    <row r="148" spans="1:1" ht="16.2" customHeight="1" x14ac:dyDescent="0.3">
      <c r="A148" s="89" t="s">
        <v>222</v>
      </c>
    </row>
    <row r="149" spans="1:1" ht="16.2" customHeight="1" x14ac:dyDescent="0.3">
      <c r="A149" s="89" t="s">
        <v>534</v>
      </c>
    </row>
    <row r="150" spans="1:1" ht="16.2" customHeight="1" x14ac:dyDescent="0.3">
      <c r="A150" s="89" t="s">
        <v>223</v>
      </c>
    </row>
    <row r="151" spans="1:1" ht="16.2" customHeight="1" x14ac:dyDescent="0.3">
      <c r="A151" s="89" t="s">
        <v>224</v>
      </c>
    </row>
    <row r="152" spans="1:1" ht="16.2" customHeight="1" x14ac:dyDescent="0.3">
      <c r="A152" s="89" t="s">
        <v>225</v>
      </c>
    </row>
    <row r="153" spans="1:1" ht="16.2" customHeight="1" x14ac:dyDescent="0.3">
      <c r="A153" s="89" t="s">
        <v>226</v>
      </c>
    </row>
    <row r="154" spans="1:1" ht="16.2" customHeight="1" x14ac:dyDescent="0.3">
      <c r="A154" s="89" t="s">
        <v>227</v>
      </c>
    </row>
    <row r="155" spans="1:1" ht="16.2" customHeight="1" x14ac:dyDescent="0.3">
      <c r="A155" s="89" t="s">
        <v>535</v>
      </c>
    </row>
    <row r="156" spans="1:1" ht="16.2" customHeight="1" x14ac:dyDescent="0.3">
      <c r="A156" s="89" t="s">
        <v>536</v>
      </c>
    </row>
    <row r="157" spans="1:1" ht="16.2" customHeight="1" x14ac:dyDescent="0.3">
      <c r="A157" s="89" t="s">
        <v>228</v>
      </c>
    </row>
    <row r="158" spans="1:1" ht="16.2" customHeight="1" x14ac:dyDescent="0.3">
      <c r="A158" s="89" t="s">
        <v>229</v>
      </c>
    </row>
    <row r="159" spans="1:1" ht="16.2" customHeight="1" x14ac:dyDescent="0.3">
      <c r="A159" s="84" t="s">
        <v>230</v>
      </c>
    </row>
    <row r="160" spans="1:1" ht="16.2" customHeight="1" x14ac:dyDescent="0.3">
      <c r="A160" s="84" t="s">
        <v>231</v>
      </c>
    </row>
    <row r="161" spans="1:1" ht="16.2" customHeight="1" x14ac:dyDescent="0.3">
      <c r="A161" s="84" t="s">
        <v>232</v>
      </c>
    </row>
    <row r="162" spans="1:1" ht="16.2" customHeight="1" x14ac:dyDescent="0.3">
      <c r="A162" s="89" t="s">
        <v>233</v>
      </c>
    </row>
    <row r="163" spans="1:1" ht="16.2" customHeight="1" x14ac:dyDescent="0.3">
      <c r="A163" s="89" t="s">
        <v>234</v>
      </c>
    </row>
    <row r="164" spans="1:1" ht="16.2" customHeight="1" x14ac:dyDescent="0.3">
      <c r="A164" s="89" t="s">
        <v>235</v>
      </c>
    </row>
    <row r="165" spans="1:1" ht="16.2" customHeight="1" x14ac:dyDescent="0.3">
      <c r="A165" s="89" t="s">
        <v>236</v>
      </c>
    </row>
    <row r="166" spans="1:1" ht="16.2" customHeight="1" x14ac:dyDescent="0.3">
      <c r="A166" s="89" t="s">
        <v>537</v>
      </c>
    </row>
    <row r="167" spans="1:1" ht="16.2" customHeight="1" x14ac:dyDescent="0.3">
      <c r="A167" s="89" t="s">
        <v>538</v>
      </c>
    </row>
    <row r="168" spans="1:1" ht="16.2" customHeight="1" x14ac:dyDescent="0.3">
      <c r="A168" s="89" t="s">
        <v>539</v>
      </c>
    </row>
    <row r="169" spans="1:1" ht="16.2" customHeight="1" x14ac:dyDescent="0.3">
      <c r="A169" s="89" t="s">
        <v>237</v>
      </c>
    </row>
    <row r="170" spans="1:1" ht="16.2" customHeight="1" x14ac:dyDescent="0.3">
      <c r="A170" s="89" t="s">
        <v>540</v>
      </c>
    </row>
    <row r="171" spans="1:1" ht="16.2" customHeight="1" x14ac:dyDescent="0.3">
      <c r="A171" s="99" t="s">
        <v>238</v>
      </c>
    </row>
    <row r="172" spans="1:1" ht="16.2" customHeight="1" x14ac:dyDescent="0.3">
      <c r="A172" s="99" t="s">
        <v>239</v>
      </c>
    </row>
    <row r="173" spans="1:1" ht="16.2" customHeight="1" x14ac:dyDescent="0.3">
      <c r="A173" s="89" t="s">
        <v>240</v>
      </c>
    </row>
    <row r="174" spans="1:1" ht="16.2" customHeight="1" x14ac:dyDescent="0.3">
      <c r="A174" s="92" t="s">
        <v>241</v>
      </c>
    </row>
    <row r="175" spans="1:1" ht="16.2" customHeight="1" x14ac:dyDescent="0.3">
      <c r="A175" s="84" t="s">
        <v>242</v>
      </c>
    </row>
    <row r="176" spans="1:1" ht="16.2" customHeight="1" x14ac:dyDescent="0.3">
      <c r="A176" s="84" t="s">
        <v>243</v>
      </c>
    </row>
    <row r="177" spans="1:1" ht="16.2" customHeight="1" x14ac:dyDescent="0.3">
      <c r="A177" s="89" t="s">
        <v>541</v>
      </c>
    </row>
    <row r="178" spans="1:1" ht="16.2" customHeight="1" x14ac:dyDescent="0.3">
      <c r="A178" s="89" t="s">
        <v>542</v>
      </c>
    </row>
    <row r="179" spans="1:1" ht="16.2" customHeight="1" x14ac:dyDescent="0.3">
      <c r="A179" s="89" t="s">
        <v>244</v>
      </c>
    </row>
    <row r="180" spans="1:1" ht="16.2" customHeight="1" x14ac:dyDescent="0.3">
      <c r="A180" s="89" t="s">
        <v>543</v>
      </c>
    </row>
    <row r="181" spans="1:1" ht="16.2" customHeight="1" x14ac:dyDescent="0.3">
      <c r="A181" s="89" t="s">
        <v>245</v>
      </c>
    </row>
    <row r="182" spans="1:1" ht="16.2" customHeight="1" x14ac:dyDescent="0.3">
      <c r="A182" s="89" t="s">
        <v>246</v>
      </c>
    </row>
    <row r="183" spans="1:1" ht="16.2" customHeight="1" x14ac:dyDescent="0.3">
      <c r="A183" s="87" t="s">
        <v>472</v>
      </c>
    </row>
    <row r="184" spans="1:1" ht="16.2" customHeight="1" x14ac:dyDescent="0.3">
      <c r="A184" s="89" t="s">
        <v>247</v>
      </c>
    </row>
    <row r="185" spans="1:1" ht="16.2" customHeight="1" x14ac:dyDescent="0.3">
      <c r="A185" s="90" t="s">
        <v>544</v>
      </c>
    </row>
    <row r="186" spans="1:1" ht="16.2" customHeight="1" x14ac:dyDescent="0.3">
      <c r="A186" s="90" t="s">
        <v>473</v>
      </c>
    </row>
    <row r="187" spans="1:1" ht="16.2" customHeight="1" x14ac:dyDescent="0.3">
      <c r="A187" s="87" t="s">
        <v>474</v>
      </c>
    </row>
    <row r="188" spans="1:1" ht="16.2" customHeight="1" x14ac:dyDescent="0.3">
      <c r="A188" s="87" t="s">
        <v>545</v>
      </c>
    </row>
    <row r="189" spans="1:1" ht="16.2" customHeight="1" x14ac:dyDescent="0.3">
      <c r="A189" s="89" t="s">
        <v>248</v>
      </c>
    </row>
    <row r="190" spans="1:1" ht="16.2" customHeight="1" x14ac:dyDescent="0.3">
      <c r="A190" s="84" t="s">
        <v>546</v>
      </c>
    </row>
    <row r="191" spans="1:1" ht="16.2" customHeight="1" x14ac:dyDescent="0.3">
      <c r="A191" s="89" t="s">
        <v>249</v>
      </c>
    </row>
    <row r="192" spans="1:1" ht="16.2" customHeight="1" x14ac:dyDescent="0.3">
      <c r="A192" s="84" t="s">
        <v>250</v>
      </c>
    </row>
    <row r="193" spans="1:1" ht="16.2" customHeight="1" x14ac:dyDescent="0.3">
      <c r="A193" s="87" t="s">
        <v>475</v>
      </c>
    </row>
    <row r="194" spans="1:1" ht="16.2" customHeight="1" x14ac:dyDescent="0.3">
      <c r="A194" s="92" t="s">
        <v>484</v>
      </c>
    </row>
    <row r="195" spans="1:1" ht="16.2" customHeight="1" x14ac:dyDescent="0.3">
      <c r="A195" s="89" t="s">
        <v>251</v>
      </c>
    </row>
    <row r="196" spans="1:1" ht="16.2" customHeight="1" x14ac:dyDescent="0.3">
      <c r="A196" s="89" t="s">
        <v>252</v>
      </c>
    </row>
    <row r="197" spans="1:1" ht="16.2" customHeight="1" x14ac:dyDescent="0.3">
      <c r="A197" s="89" t="s">
        <v>253</v>
      </c>
    </row>
    <row r="198" spans="1:1" ht="16.2" customHeight="1" x14ac:dyDescent="0.3">
      <c r="A198" s="89" t="s">
        <v>254</v>
      </c>
    </row>
    <row r="199" spans="1:1" ht="16.2" customHeight="1" x14ac:dyDescent="0.3">
      <c r="A199" s="89" t="s">
        <v>255</v>
      </c>
    </row>
    <row r="200" spans="1:1" ht="16.2" customHeight="1" x14ac:dyDescent="0.3">
      <c r="A200" s="89" t="s">
        <v>256</v>
      </c>
    </row>
    <row r="201" spans="1:1" ht="16.2" customHeight="1" x14ac:dyDescent="0.3">
      <c r="A201" s="83" t="s">
        <v>260</v>
      </c>
    </row>
    <row r="202" spans="1:1" ht="16.2" customHeight="1" x14ac:dyDescent="0.3">
      <c r="A202" s="83" t="s">
        <v>261</v>
      </c>
    </row>
    <row r="203" spans="1:1" ht="16.2" customHeight="1" x14ac:dyDescent="0.3">
      <c r="A203" s="100" t="s">
        <v>262</v>
      </c>
    </row>
    <row r="204" spans="1:1" ht="16.2" customHeight="1" x14ac:dyDescent="0.3">
      <c r="A204" s="101" t="s">
        <v>263</v>
      </c>
    </row>
    <row r="205" spans="1:1" ht="16.2" customHeight="1" x14ac:dyDescent="0.3">
      <c r="A205" s="82" t="s">
        <v>264</v>
      </c>
    </row>
    <row r="206" spans="1:1" ht="16.2" customHeight="1" x14ac:dyDescent="0.3">
      <c r="A206" s="82" t="s">
        <v>257</v>
      </c>
    </row>
    <row r="207" spans="1:1" ht="16.2" customHeight="1" x14ac:dyDescent="0.3">
      <c r="A207" s="82" t="s">
        <v>265</v>
      </c>
    </row>
    <row r="208" spans="1:1" ht="16.2" customHeight="1" x14ac:dyDescent="0.3">
      <c r="A208" s="102" t="s">
        <v>266</v>
      </c>
    </row>
    <row r="209" spans="1:1" ht="16.2" customHeight="1" x14ac:dyDescent="0.3">
      <c r="A209" s="82" t="s">
        <v>267</v>
      </c>
    </row>
    <row r="210" spans="1:1" ht="16.2" customHeight="1" x14ac:dyDescent="0.3">
      <c r="A210" s="82" t="s">
        <v>268</v>
      </c>
    </row>
    <row r="211" spans="1:1" ht="16.2" customHeight="1" x14ac:dyDescent="0.3">
      <c r="A211" s="82" t="s">
        <v>269</v>
      </c>
    </row>
    <row r="212" spans="1:1" ht="16.2" customHeight="1" x14ac:dyDescent="0.3">
      <c r="A212" s="82" t="s">
        <v>270</v>
      </c>
    </row>
    <row r="213" spans="1:1" ht="16.2" customHeight="1" x14ac:dyDescent="0.3">
      <c r="A213" s="82" t="s">
        <v>271</v>
      </c>
    </row>
    <row r="214" spans="1:1" ht="16.2" customHeight="1" x14ac:dyDescent="0.3">
      <c r="A214" s="82" t="s">
        <v>272</v>
      </c>
    </row>
    <row r="215" spans="1:1" ht="16.2" customHeight="1" x14ac:dyDescent="0.3">
      <c r="A215" s="94" t="s">
        <v>258</v>
      </c>
    </row>
    <row r="216" spans="1:1" ht="16.2" customHeight="1" x14ac:dyDescent="0.3">
      <c r="A216" s="82" t="s">
        <v>547</v>
      </c>
    </row>
    <row r="217" spans="1:1" ht="16.2" customHeight="1" x14ac:dyDescent="0.3">
      <c r="A217" s="82" t="s">
        <v>273</v>
      </c>
    </row>
    <row r="218" spans="1:1" ht="16.2" customHeight="1" x14ac:dyDescent="0.3">
      <c r="A218" s="83" t="s">
        <v>274</v>
      </c>
    </row>
    <row r="219" spans="1:1" ht="16.2" customHeight="1" x14ac:dyDescent="0.3">
      <c r="A219" s="83" t="s">
        <v>275</v>
      </c>
    </row>
    <row r="220" spans="1:1" ht="16.2" customHeight="1" x14ac:dyDescent="0.3">
      <c r="A220" s="83" t="s">
        <v>276</v>
      </c>
    </row>
    <row r="221" spans="1:1" ht="16.2" customHeight="1" x14ac:dyDescent="0.3">
      <c r="A221" s="83" t="s">
        <v>548</v>
      </c>
    </row>
    <row r="222" spans="1:1" ht="16.2" customHeight="1" x14ac:dyDescent="0.3">
      <c r="A222" s="83" t="s">
        <v>277</v>
      </c>
    </row>
    <row r="223" spans="1:1" ht="16.2" customHeight="1" x14ac:dyDescent="0.3">
      <c r="A223" s="82" t="s">
        <v>278</v>
      </c>
    </row>
    <row r="224" spans="1:1" ht="16.2" customHeight="1" x14ac:dyDescent="0.3">
      <c r="A224" s="83" t="s">
        <v>201</v>
      </c>
    </row>
    <row r="225" spans="1:1" ht="16.2" customHeight="1" x14ac:dyDescent="0.3">
      <c r="A225" s="82" t="s">
        <v>144</v>
      </c>
    </row>
    <row r="226" spans="1:1" ht="16.2" customHeight="1" x14ac:dyDescent="0.3">
      <c r="A226" s="82" t="s">
        <v>279</v>
      </c>
    </row>
    <row r="227" spans="1:1" ht="16.2" customHeight="1" x14ac:dyDescent="0.3">
      <c r="A227" s="82" t="s">
        <v>205</v>
      </c>
    </row>
    <row r="228" spans="1:1" ht="16.2" customHeight="1" x14ac:dyDescent="0.3">
      <c r="A228" s="82" t="s">
        <v>204</v>
      </c>
    </row>
    <row r="229" spans="1:1" ht="16.2" customHeight="1" x14ac:dyDescent="0.3">
      <c r="A229" s="82" t="s">
        <v>280</v>
      </c>
    </row>
    <row r="230" spans="1:1" ht="16.2" customHeight="1" x14ac:dyDescent="0.3">
      <c r="A230" s="83" t="s">
        <v>281</v>
      </c>
    </row>
    <row r="231" spans="1:1" ht="16.2" customHeight="1" x14ac:dyDescent="0.3">
      <c r="A231" s="82" t="s">
        <v>282</v>
      </c>
    </row>
    <row r="232" spans="1:1" ht="16.2" customHeight="1" x14ac:dyDescent="0.3">
      <c r="A232" s="83" t="s">
        <v>283</v>
      </c>
    </row>
    <row r="233" spans="1:1" ht="16.2" customHeight="1" x14ac:dyDescent="0.3">
      <c r="A233" s="83" t="s">
        <v>284</v>
      </c>
    </row>
    <row r="234" spans="1:1" ht="16.2" customHeight="1" x14ac:dyDescent="0.3">
      <c r="A234" s="83" t="s">
        <v>285</v>
      </c>
    </row>
    <row r="235" spans="1:1" ht="16.2" customHeight="1" x14ac:dyDescent="0.3">
      <c r="A235" s="103" t="s">
        <v>286</v>
      </c>
    </row>
    <row r="236" spans="1:1" ht="16.2" customHeight="1" x14ac:dyDescent="0.3">
      <c r="A236" s="82" t="s">
        <v>183</v>
      </c>
    </row>
    <row r="237" spans="1:1" ht="16.2" customHeight="1" x14ac:dyDescent="0.3">
      <c r="A237" s="82" t="s">
        <v>287</v>
      </c>
    </row>
    <row r="238" spans="1:1" ht="16.2" customHeight="1" x14ac:dyDescent="0.3">
      <c r="A238" s="82" t="s">
        <v>288</v>
      </c>
    </row>
    <row r="239" spans="1:1" ht="16.2" customHeight="1" x14ac:dyDescent="0.3">
      <c r="A239" s="103" t="s">
        <v>259</v>
      </c>
    </row>
    <row r="240" spans="1:1" ht="16.2" customHeight="1" x14ac:dyDescent="0.3">
      <c r="A240" s="82" t="s">
        <v>182</v>
      </c>
    </row>
    <row r="241" spans="1:1" ht="16.2" customHeight="1" x14ac:dyDescent="0.3">
      <c r="A241" s="83" t="s">
        <v>289</v>
      </c>
    </row>
    <row r="242" spans="1:1" ht="16.2" customHeight="1" x14ac:dyDescent="0.3">
      <c r="A242" s="83" t="s">
        <v>290</v>
      </c>
    </row>
    <row r="243" spans="1:1" ht="16.2" customHeight="1" x14ac:dyDescent="0.3">
      <c r="A243" s="83" t="s">
        <v>291</v>
      </c>
    </row>
    <row r="244" spans="1:1" ht="16.2" customHeight="1" x14ac:dyDescent="0.3">
      <c r="A244" s="82" t="s">
        <v>292</v>
      </c>
    </row>
    <row r="245" spans="1:1" ht="16.2" customHeight="1" x14ac:dyDescent="0.3">
      <c r="A245" s="82" t="s">
        <v>293</v>
      </c>
    </row>
    <row r="246" spans="1:1" ht="16.2" customHeight="1" x14ac:dyDescent="0.3">
      <c r="A246" s="82" t="s">
        <v>294</v>
      </c>
    </row>
    <row r="247" spans="1:1" ht="16.2" customHeight="1" x14ac:dyDescent="0.3">
      <c r="A247" s="82" t="s">
        <v>549</v>
      </c>
    </row>
    <row r="248" spans="1:1" ht="16.2" customHeight="1" x14ac:dyDescent="0.3">
      <c r="A248" s="82" t="s">
        <v>295</v>
      </c>
    </row>
    <row r="249" spans="1:1" ht="16.2" customHeight="1" x14ac:dyDescent="0.3">
      <c r="A249" s="82" t="s">
        <v>550</v>
      </c>
    </row>
    <row r="250" spans="1:1" ht="16.2" customHeight="1" x14ac:dyDescent="0.3">
      <c r="A250" s="82" t="s">
        <v>296</v>
      </c>
    </row>
    <row r="251" spans="1:1" ht="16.2" customHeight="1" x14ac:dyDescent="0.3">
      <c r="A251" s="82" t="s">
        <v>297</v>
      </c>
    </row>
    <row r="252" spans="1:1" ht="16.2" customHeight="1" x14ac:dyDescent="0.3">
      <c r="A252" s="82" t="s">
        <v>298</v>
      </c>
    </row>
    <row r="253" spans="1:1" ht="16.2" customHeight="1" x14ac:dyDescent="0.3">
      <c r="A253" s="82" t="s">
        <v>299</v>
      </c>
    </row>
    <row r="254" spans="1:1" ht="16.2" customHeight="1" x14ac:dyDescent="0.3">
      <c r="A254" s="82" t="s">
        <v>300</v>
      </c>
    </row>
    <row r="255" spans="1:1" ht="16.2" customHeight="1" x14ac:dyDescent="0.3">
      <c r="A255" s="82" t="s">
        <v>301</v>
      </c>
    </row>
    <row r="256" spans="1:1" ht="16.2" customHeight="1" x14ac:dyDescent="0.3">
      <c r="A256" s="82" t="s">
        <v>551</v>
      </c>
    </row>
    <row r="257" spans="1:1" ht="16.2" customHeight="1" x14ac:dyDescent="0.3">
      <c r="A257" s="82" t="s">
        <v>552</v>
      </c>
    </row>
    <row r="258" spans="1:1" ht="16.2" customHeight="1" x14ac:dyDescent="0.3">
      <c r="A258" s="104" t="s">
        <v>302</v>
      </c>
    </row>
    <row r="259" spans="1:1" ht="16.2" customHeight="1" x14ac:dyDescent="0.3">
      <c r="A259" s="83" t="s">
        <v>553</v>
      </c>
    </row>
    <row r="260" spans="1:1" ht="16.2" customHeight="1" x14ac:dyDescent="0.3">
      <c r="A260" s="83" t="s">
        <v>303</v>
      </c>
    </row>
    <row r="261" spans="1:1" ht="16.2" customHeight="1" x14ac:dyDescent="0.3">
      <c r="A261" s="83" t="s">
        <v>304</v>
      </c>
    </row>
    <row r="262" spans="1:1" ht="16.2" customHeight="1" x14ac:dyDescent="0.3">
      <c r="A262" s="105" t="s">
        <v>305</v>
      </c>
    </row>
    <row r="263" spans="1:1" ht="16.2" customHeight="1" x14ac:dyDescent="0.3">
      <c r="A263" s="105" t="s">
        <v>306</v>
      </c>
    </row>
    <row r="264" spans="1:1" ht="16.2" customHeight="1" x14ac:dyDescent="0.3">
      <c r="A264" s="82" t="s">
        <v>307</v>
      </c>
    </row>
    <row r="265" spans="1:1" ht="16.2" customHeight="1" x14ac:dyDescent="0.3">
      <c r="A265" s="82" t="s">
        <v>308</v>
      </c>
    </row>
    <row r="266" spans="1:1" ht="16.2" customHeight="1" x14ac:dyDescent="0.3">
      <c r="A266" s="82" t="s">
        <v>554</v>
      </c>
    </row>
    <row r="267" spans="1:1" ht="16.2" customHeight="1" x14ac:dyDescent="0.3">
      <c r="A267" s="82" t="s">
        <v>309</v>
      </c>
    </row>
    <row r="268" spans="1:1" ht="16.2" customHeight="1" x14ac:dyDescent="0.3">
      <c r="A268" s="82" t="s">
        <v>310</v>
      </c>
    </row>
    <row r="269" spans="1:1" ht="16.2" customHeight="1" x14ac:dyDescent="0.3">
      <c r="A269" s="82" t="s">
        <v>555</v>
      </c>
    </row>
    <row r="270" spans="1:1" ht="16.2" customHeight="1" x14ac:dyDescent="0.3">
      <c r="A270" s="82" t="s">
        <v>556</v>
      </c>
    </row>
    <row r="271" spans="1:1" ht="16.2" customHeight="1" x14ac:dyDescent="0.3">
      <c r="A271" s="106" t="s">
        <v>311</v>
      </c>
    </row>
    <row r="272" spans="1:1" ht="16.2" customHeight="1" x14ac:dyDescent="0.3">
      <c r="A272" s="106" t="s">
        <v>312</v>
      </c>
    </row>
    <row r="273" spans="1:1" ht="16.2" customHeight="1" x14ac:dyDescent="0.3">
      <c r="A273" s="82" t="s">
        <v>313</v>
      </c>
    </row>
    <row r="274" spans="1:1" ht="16.2" customHeight="1" x14ac:dyDescent="0.3">
      <c r="A274" s="82" t="s">
        <v>314</v>
      </c>
    </row>
    <row r="275" spans="1:1" ht="16.2" customHeight="1" x14ac:dyDescent="0.3">
      <c r="A275" s="91" t="s">
        <v>557</v>
      </c>
    </row>
    <row r="276" spans="1:1" ht="16.2" customHeight="1" x14ac:dyDescent="0.3">
      <c r="A276" s="83" t="s">
        <v>558</v>
      </c>
    </row>
    <row r="277" spans="1:1" ht="16.2" customHeight="1" x14ac:dyDescent="0.3">
      <c r="A277" s="83" t="s">
        <v>315</v>
      </c>
    </row>
    <row r="278" spans="1:1" ht="16.2" customHeight="1" x14ac:dyDescent="0.3">
      <c r="A278" s="82" t="s">
        <v>316</v>
      </c>
    </row>
    <row r="279" spans="1:1" ht="16.2" customHeight="1" x14ac:dyDescent="0.3">
      <c r="A279" s="82" t="s">
        <v>317</v>
      </c>
    </row>
    <row r="280" spans="1:1" ht="16.2" customHeight="1" x14ac:dyDescent="0.3">
      <c r="A280" s="83" t="s">
        <v>318</v>
      </c>
    </row>
    <row r="281" spans="1:1" ht="16.2" customHeight="1" x14ac:dyDescent="0.3">
      <c r="A281" s="82" t="s">
        <v>319</v>
      </c>
    </row>
    <row r="282" spans="1:1" ht="16.2" customHeight="1" x14ac:dyDescent="0.3">
      <c r="A282" s="82" t="s">
        <v>485</v>
      </c>
    </row>
    <row r="283" spans="1:1" ht="16.2" customHeight="1" x14ac:dyDescent="0.3">
      <c r="A283" s="93" t="s">
        <v>476</v>
      </c>
    </row>
    <row r="284" spans="1:1" ht="16.2" customHeight="1" x14ac:dyDescent="0.3">
      <c r="A284" s="95" t="s">
        <v>559</v>
      </c>
    </row>
    <row r="285" spans="1:1" ht="16.2" customHeight="1" x14ac:dyDescent="0.3">
      <c r="A285" s="91" t="s">
        <v>560</v>
      </c>
    </row>
    <row r="286" spans="1:1" ht="16.2" customHeight="1" x14ac:dyDescent="0.3">
      <c r="A286" s="83" t="s">
        <v>320</v>
      </c>
    </row>
    <row r="287" spans="1:1" ht="16.2" customHeight="1" x14ac:dyDescent="0.3">
      <c r="A287" s="93" t="s">
        <v>477</v>
      </c>
    </row>
    <row r="288" spans="1:1" ht="16.2" customHeight="1" x14ac:dyDescent="0.3">
      <c r="A288" s="93" t="s">
        <v>478</v>
      </c>
    </row>
    <row r="289" spans="1:1" ht="16.2" customHeight="1" x14ac:dyDescent="0.3">
      <c r="A289" s="83" t="s">
        <v>321</v>
      </c>
    </row>
    <row r="290" spans="1:1" ht="16.2" customHeight="1" x14ac:dyDescent="0.3">
      <c r="A290" s="91" t="s">
        <v>561</v>
      </c>
    </row>
    <row r="291" spans="1:1" ht="16.2" customHeight="1" x14ac:dyDescent="0.3">
      <c r="A291" s="82" t="s">
        <v>322</v>
      </c>
    </row>
    <row r="292" spans="1:1" ht="16.2" customHeight="1" x14ac:dyDescent="0.3">
      <c r="A292" s="91" t="s">
        <v>479</v>
      </c>
    </row>
    <row r="293" spans="1:1" ht="16.2" customHeight="1" x14ac:dyDescent="0.3">
      <c r="A293" s="93" t="s">
        <v>480</v>
      </c>
    </row>
    <row r="294" spans="1:1" ht="16.2" customHeight="1" x14ac:dyDescent="0.3">
      <c r="A294" s="82" t="s">
        <v>323</v>
      </c>
    </row>
    <row r="295" spans="1:1" ht="16.2" customHeight="1" x14ac:dyDescent="0.3">
      <c r="A295" s="82" t="s">
        <v>324</v>
      </c>
    </row>
    <row r="296" spans="1:1" ht="16.2" customHeight="1" x14ac:dyDescent="0.3">
      <c r="A296" s="82" t="s">
        <v>325</v>
      </c>
    </row>
    <row r="297" spans="1:1" ht="16.2" customHeight="1" x14ac:dyDescent="0.3">
      <c r="A297" s="82" t="s">
        <v>326</v>
      </c>
    </row>
    <row r="298" spans="1:1" ht="16.2" customHeight="1" x14ac:dyDescent="0.3">
      <c r="A298" s="82" t="s">
        <v>327</v>
      </c>
    </row>
    <row r="299" spans="1:1" ht="16.2" customHeight="1" x14ac:dyDescent="0.3">
      <c r="A299" s="82" t="s">
        <v>328</v>
      </c>
    </row>
    <row r="300" spans="1:1" ht="16.2" customHeight="1" x14ac:dyDescent="0.3">
      <c r="A300" s="82" t="s">
        <v>329</v>
      </c>
    </row>
    <row r="301" spans="1:1" ht="16.2" customHeight="1" x14ac:dyDescent="0.3">
      <c r="A301" s="107" t="s">
        <v>416</v>
      </c>
    </row>
    <row r="302" spans="1:1" ht="16.2" customHeight="1" x14ac:dyDescent="0.3">
      <c r="A302" s="107" t="s">
        <v>378</v>
      </c>
    </row>
    <row r="303" spans="1:1" ht="16.2" customHeight="1" x14ac:dyDescent="0.3">
      <c r="A303" s="107" t="s">
        <v>417</v>
      </c>
    </row>
    <row r="304" spans="1:1" ht="16.2" customHeight="1" x14ac:dyDescent="0.3">
      <c r="A304" s="107" t="s">
        <v>562</v>
      </c>
    </row>
    <row r="305" spans="1:1" ht="16.2" customHeight="1" x14ac:dyDescent="0.3">
      <c r="A305" s="107" t="s">
        <v>563</v>
      </c>
    </row>
    <row r="306" spans="1:1" ht="16.2" customHeight="1" x14ac:dyDescent="0.3">
      <c r="A306" s="107" t="s">
        <v>379</v>
      </c>
    </row>
    <row r="307" spans="1:1" ht="16.2" customHeight="1" x14ac:dyDescent="0.3">
      <c r="A307" s="107" t="s">
        <v>418</v>
      </c>
    </row>
    <row r="308" spans="1:1" ht="16.2" customHeight="1" x14ac:dyDescent="0.3">
      <c r="A308" s="107" t="s">
        <v>419</v>
      </c>
    </row>
    <row r="309" spans="1:1" ht="16.2" customHeight="1" x14ac:dyDescent="0.3">
      <c r="A309" s="107" t="s">
        <v>420</v>
      </c>
    </row>
    <row r="310" spans="1:1" ht="16.2" customHeight="1" x14ac:dyDescent="0.3">
      <c r="A310" s="107" t="s">
        <v>564</v>
      </c>
    </row>
    <row r="311" spans="1:1" ht="16.2" customHeight="1" x14ac:dyDescent="0.3">
      <c r="A311" s="107" t="s">
        <v>421</v>
      </c>
    </row>
    <row r="312" spans="1:1" ht="16.2" customHeight="1" x14ac:dyDescent="0.3">
      <c r="A312" s="107" t="s">
        <v>565</v>
      </c>
    </row>
    <row r="313" spans="1:1" ht="16.2" customHeight="1" x14ac:dyDescent="0.3">
      <c r="A313" s="107" t="s">
        <v>422</v>
      </c>
    </row>
    <row r="314" spans="1:1" ht="16.2" customHeight="1" x14ac:dyDescent="0.3">
      <c r="A314" s="107" t="s">
        <v>423</v>
      </c>
    </row>
    <row r="315" spans="1:1" ht="16.2" customHeight="1" x14ac:dyDescent="0.3">
      <c r="A315" s="107" t="s">
        <v>424</v>
      </c>
    </row>
    <row r="316" spans="1:1" ht="16.2" customHeight="1" x14ac:dyDescent="0.3">
      <c r="A316" s="107" t="s">
        <v>566</v>
      </c>
    </row>
    <row r="317" spans="1:1" ht="16.2" customHeight="1" x14ac:dyDescent="0.3">
      <c r="A317" s="107" t="s">
        <v>425</v>
      </c>
    </row>
    <row r="318" spans="1:1" ht="16.2" customHeight="1" x14ac:dyDescent="0.3">
      <c r="A318" s="107" t="s">
        <v>567</v>
      </c>
    </row>
    <row r="319" spans="1:1" ht="16.2" customHeight="1" x14ac:dyDescent="0.3">
      <c r="A319" s="107" t="s">
        <v>568</v>
      </c>
    </row>
    <row r="320" spans="1:1" ht="16.2" customHeight="1" x14ac:dyDescent="0.3">
      <c r="A320" s="107" t="s">
        <v>569</v>
      </c>
    </row>
    <row r="321" spans="1:1" ht="16.2" customHeight="1" x14ac:dyDescent="0.3">
      <c r="A321" s="107" t="s">
        <v>570</v>
      </c>
    </row>
    <row r="322" spans="1:1" ht="16.2" customHeight="1" x14ac:dyDescent="0.3">
      <c r="A322" s="107" t="s">
        <v>426</v>
      </c>
    </row>
    <row r="323" spans="1:1" ht="16.2" customHeight="1" x14ac:dyDescent="0.3">
      <c r="A323" s="107" t="s">
        <v>571</v>
      </c>
    </row>
    <row r="324" spans="1:1" ht="16.2" customHeight="1" x14ac:dyDescent="0.3">
      <c r="A324" s="107" t="s">
        <v>427</v>
      </c>
    </row>
    <row r="325" spans="1:1" ht="16.2" customHeight="1" x14ac:dyDescent="0.3">
      <c r="A325" s="107" t="s">
        <v>572</v>
      </c>
    </row>
    <row r="326" spans="1:1" ht="16.2" customHeight="1" x14ac:dyDescent="0.3">
      <c r="A326" s="107" t="s">
        <v>573</v>
      </c>
    </row>
    <row r="327" spans="1:1" ht="16.2" customHeight="1" x14ac:dyDescent="0.3">
      <c r="A327" s="107" t="s">
        <v>380</v>
      </c>
    </row>
    <row r="328" spans="1:1" ht="16.2" customHeight="1" x14ac:dyDescent="0.3">
      <c r="A328" s="107" t="s">
        <v>574</v>
      </c>
    </row>
    <row r="329" spans="1:1" ht="16.2" customHeight="1" x14ac:dyDescent="0.3">
      <c r="A329" s="107" t="s">
        <v>428</v>
      </c>
    </row>
    <row r="330" spans="1:1" ht="16.2" customHeight="1" x14ac:dyDescent="0.3">
      <c r="A330" s="107" t="s">
        <v>575</v>
      </c>
    </row>
    <row r="331" spans="1:1" ht="16.2" customHeight="1" x14ac:dyDescent="0.3">
      <c r="A331" s="107" t="s">
        <v>429</v>
      </c>
    </row>
    <row r="332" spans="1:1" ht="16.2" customHeight="1" x14ac:dyDescent="0.3">
      <c r="A332" s="107" t="s">
        <v>576</v>
      </c>
    </row>
    <row r="333" spans="1:1" ht="16.2" customHeight="1" x14ac:dyDescent="0.3">
      <c r="A333" s="107" t="s">
        <v>430</v>
      </c>
    </row>
    <row r="334" spans="1:1" ht="16.2" customHeight="1" x14ac:dyDescent="0.3">
      <c r="A334" s="107" t="s">
        <v>577</v>
      </c>
    </row>
    <row r="335" spans="1:1" ht="16.2" customHeight="1" x14ac:dyDescent="0.3">
      <c r="A335" s="107" t="s">
        <v>431</v>
      </c>
    </row>
    <row r="336" spans="1:1" ht="16.2" customHeight="1" x14ac:dyDescent="0.3">
      <c r="A336" s="107" t="s">
        <v>578</v>
      </c>
    </row>
    <row r="337" spans="1:1" ht="16.2" customHeight="1" x14ac:dyDescent="0.3">
      <c r="A337" s="107" t="s">
        <v>579</v>
      </c>
    </row>
    <row r="338" spans="1:1" ht="16.2" customHeight="1" x14ac:dyDescent="0.3">
      <c r="A338" s="107" t="s">
        <v>432</v>
      </c>
    </row>
    <row r="339" spans="1:1" ht="16.2" customHeight="1" x14ac:dyDescent="0.3">
      <c r="A339" s="107" t="s">
        <v>433</v>
      </c>
    </row>
    <row r="340" spans="1:1" ht="16.2" customHeight="1" x14ac:dyDescent="0.3">
      <c r="A340" s="107" t="s">
        <v>434</v>
      </c>
    </row>
    <row r="341" spans="1:1" ht="16.2" customHeight="1" x14ac:dyDescent="0.3">
      <c r="A341" s="107" t="s">
        <v>580</v>
      </c>
    </row>
    <row r="342" spans="1:1" ht="16.2" customHeight="1" x14ac:dyDescent="0.3">
      <c r="A342" s="107" t="s">
        <v>381</v>
      </c>
    </row>
    <row r="343" spans="1:1" ht="16.2" customHeight="1" x14ac:dyDescent="0.3">
      <c r="A343" s="107" t="s">
        <v>382</v>
      </c>
    </row>
    <row r="344" spans="1:1" ht="16.2" customHeight="1" x14ac:dyDescent="0.3">
      <c r="A344" s="107" t="s">
        <v>581</v>
      </c>
    </row>
    <row r="345" spans="1:1" ht="16.2" customHeight="1" x14ac:dyDescent="0.3">
      <c r="A345" s="107" t="s">
        <v>383</v>
      </c>
    </row>
    <row r="346" spans="1:1" ht="16.2" customHeight="1" x14ac:dyDescent="0.3">
      <c r="A346" s="107" t="s">
        <v>435</v>
      </c>
    </row>
    <row r="347" spans="1:1" ht="16.2" customHeight="1" x14ac:dyDescent="0.3">
      <c r="A347" s="107" t="s">
        <v>582</v>
      </c>
    </row>
    <row r="348" spans="1:1" ht="16.2" customHeight="1" x14ac:dyDescent="0.3">
      <c r="A348" s="107" t="s">
        <v>583</v>
      </c>
    </row>
    <row r="349" spans="1:1" ht="16.2" customHeight="1" x14ac:dyDescent="0.3">
      <c r="A349" s="107" t="s">
        <v>436</v>
      </c>
    </row>
    <row r="350" spans="1:1" ht="16.2" customHeight="1" x14ac:dyDescent="0.3">
      <c r="A350" s="107" t="s">
        <v>584</v>
      </c>
    </row>
    <row r="351" spans="1:1" ht="16.2" customHeight="1" x14ac:dyDescent="0.3">
      <c r="A351" s="107" t="s">
        <v>437</v>
      </c>
    </row>
    <row r="352" spans="1:1" ht="16.2" customHeight="1" x14ac:dyDescent="0.3">
      <c r="A352" s="107" t="s">
        <v>585</v>
      </c>
    </row>
    <row r="353" spans="1:1" ht="16.2" customHeight="1" x14ac:dyDescent="0.3">
      <c r="A353" s="107" t="s">
        <v>438</v>
      </c>
    </row>
    <row r="354" spans="1:1" ht="16.2" customHeight="1" x14ac:dyDescent="0.3">
      <c r="A354" s="107" t="s">
        <v>586</v>
      </c>
    </row>
    <row r="355" spans="1:1" ht="16.2" customHeight="1" x14ac:dyDescent="0.3">
      <c r="A355" s="107" t="s">
        <v>439</v>
      </c>
    </row>
    <row r="356" spans="1:1" ht="16.2" customHeight="1" x14ac:dyDescent="0.3">
      <c r="A356" s="107" t="s">
        <v>440</v>
      </c>
    </row>
    <row r="357" spans="1:1" ht="16.2" customHeight="1" x14ac:dyDescent="0.3">
      <c r="A357" s="107" t="s">
        <v>441</v>
      </c>
    </row>
    <row r="358" spans="1:1" ht="16.2" customHeight="1" x14ac:dyDescent="0.3">
      <c r="A358" s="107" t="s">
        <v>442</v>
      </c>
    </row>
    <row r="359" spans="1:1" ht="16.2" customHeight="1" x14ac:dyDescent="0.3">
      <c r="A359" s="107" t="s">
        <v>443</v>
      </c>
    </row>
    <row r="360" spans="1:1" ht="16.2" customHeight="1" x14ac:dyDescent="0.3">
      <c r="A360" s="107" t="s">
        <v>384</v>
      </c>
    </row>
    <row r="361" spans="1:1" ht="16.2" customHeight="1" x14ac:dyDescent="0.3">
      <c r="A361" s="107" t="s">
        <v>587</v>
      </c>
    </row>
    <row r="362" spans="1:1" ht="16.2" customHeight="1" x14ac:dyDescent="0.3">
      <c r="A362" s="107" t="s">
        <v>588</v>
      </c>
    </row>
    <row r="363" spans="1:1" ht="16.2" customHeight="1" x14ac:dyDescent="0.3">
      <c r="A363" s="107" t="s">
        <v>385</v>
      </c>
    </row>
    <row r="364" spans="1:1" ht="16.2" customHeight="1" x14ac:dyDescent="0.3">
      <c r="A364" s="107" t="s">
        <v>386</v>
      </c>
    </row>
    <row r="365" spans="1:1" ht="16.2" customHeight="1" x14ac:dyDescent="0.3">
      <c r="A365" s="107" t="s">
        <v>589</v>
      </c>
    </row>
    <row r="366" spans="1:1" ht="16.2" customHeight="1" x14ac:dyDescent="0.3">
      <c r="A366" s="107" t="s">
        <v>387</v>
      </c>
    </row>
    <row r="367" spans="1:1" ht="16.2" customHeight="1" x14ac:dyDescent="0.3">
      <c r="A367" s="107" t="s">
        <v>590</v>
      </c>
    </row>
    <row r="368" spans="1:1" ht="16.2" customHeight="1" x14ac:dyDescent="0.3">
      <c r="A368" s="107" t="s">
        <v>388</v>
      </c>
    </row>
    <row r="369" spans="1:1" ht="16.2" customHeight="1" x14ac:dyDescent="0.3">
      <c r="A369" s="107" t="s">
        <v>389</v>
      </c>
    </row>
    <row r="370" spans="1:1" ht="16.2" customHeight="1" x14ac:dyDescent="0.3">
      <c r="A370" s="107" t="s">
        <v>390</v>
      </c>
    </row>
    <row r="371" spans="1:1" ht="16.2" customHeight="1" x14ac:dyDescent="0.3">
      <c r="A371" s="107" t="s">
        <v>391</v>
      </c>
    </row>
    <row r="372" spans="1:1" ht="16.2" customHeight="1" x14ac:dyDescent="0.3">
      <c r="A372" s="107" t="s">
        <v>392</v>
      </c>
    </row>
    <row r="373" spans="1:1" ht="16.2" customHeight="1" x14ac:dyDescent="0.3">
      <c r="A373" s="107" t="s">
        <v>591</v>
      </c>
    </row>
    <row r="374" spans="1:1" ht="16.2" customHeight="1" x14ac:dyDescent="0.3">
      <c r="A374" s="107" t="s">
        <v>592</v>
      </c>
    </row>
    <row r="375" spans="1:1" ht="16.2" customHeight="1" x14ac:dyDescent="0.3">
      <c r="A375" s="107" t="s">
        <v>593</v>
      </c>
    </row>
    <row r="376" spans="1:1" ht="16.2" customHeight="1" x14ac:dyDescent="0.3">
      <c r="A376" s="107" t="s">
        <v>393</v>
      </c>
    </row>
    <row r="377" spans="1:1" ht="16.2" customHeight="1" x14ac:dyDescent="0.3">
      <c r="A377" s="107" t="s">
        <v>394</v>
      </c>
    </row>
    <row r="378" spans="1:1" ht="16.2" customHeight="1" x14ac:dyDescent="0.3">
      <c r="A378" s="107" t="s">
        <v>395</v>
      </c>
    </row>
    <row r="379" spans="1:1" ht="16.2" customHeight="1" x14ac:dyDescent="0.3">
      <c r="A379" s="107" t="s">
        <v>594</v>
      </c>
    </row>
    <row r="380" spans="1:1" ht="16.2" customHeight="1" x14ac:dyDescent="0.3">
      <c r="A380" s="107" t="s">
        <v>444</v>
      </c>
    </row>
    <row r="381" spans="1:1" ht="16.2" customHeight="1" x14ac:dyDescent="0.3">
      <c r="A381" s="107" t="s">
        <v>595</v>
      </c>
    </row>
    <row r="382" spans="1:1" ht="16.2" customHeight="1" x14ac:dyDescent="0.3">
      <c r="A382" s="107" t="s">
        <v>445</v>
      </c>
    </row>
    <row r="383" spans="1:1" ht="16.2" customHeight="1" x14ac:dyDescent="0.3">
      <c r="A383" s="107" t="s">
        <v>396</v>
      </c>
    </row>
    <row r="384" spans="1:1" ht="16.2" customHeight="1" x14ac:dyDescent="0.3">
      <c r="A384" s="107" t="s">
        <v>397</v>
      </c>
    </row>
    <row r="385" spans="1:1" ht="16.2" customHeight="1" x14ac:dyDescent="0.3">
      <c r="A385" s="107" t="s">
        <v>596</v>
      </c>
    </row>
    <row r="386" spans="1:1" ht="16.2" customHeight="1" x14ac:dyDescent="0.3">
      <c r="A386" s="107" t="s">
        <v>446</v>
      </c>
    </row>
    <row r="387" spans="1:1" ht="16.2" customHeight="1" x14ac:dyDescent="0.3">
      <c r="A387" s="107" t="s">
        <v>597</v>
      </c>
    </row>
    <row r="388" spans="1:1" ht="16.2" customHeight="1" x14ac:dyDescent="0.3">
      <c r="A388" s="107" t="s">
        <v>447</v>
      </c>
    </row>
    <row r="389" spans="1:1" ht="16.2" customHeight="1" x14ac:dyDescent="0.3">
      <c r="A389" s="107" t="s">
        <v>598</v>
      </c>
    </row>
    <row r="390" spans="1:1" ht="16.2" customHeight="1" x14ac:dyDescent="0.3">
      <c r="A390" s="107" t="s">
        <v>448</v>
      </c>
    </row>
    <row r="391" spans="1:1" ht="16.2" customHeight="1" x14ac:dyDescent="0.3">
      <c r="A391" s="107" t="s">
        <v>599</v>
      </c>
    </row>
    <row r="392" spans="1:1" ht="16.2" customHeight="1" x14ac:dyDescent="0.3">
      <c r="A392" s="107" t="s">
        <v>600</v>
      </c>
    </row>
    <row r="393" spans="1:1" ht="16.2" customHeight="1" x14ac:dyDescent="0.3">
      <c r="A393" s="107" t="s">
        <v>601</v>
      </c>
    </row>
    <row r="394" spans="1:1" ht="16.2" customHeight="1" x14ac:dyDescent="0.3">
      <c r="A394" s="107" t="s">
        <v>398</v>
      </c>
    </row>
    <row r="395" spans="1:1" ht="16.2" customHeight="1" x14ac:dyDescent="0.3">
      <c r="A395" s="107" t="s">
        <v>602</v>
      </c>
    </row>
    <row r="396" spans="1:1" ht="16.2" customHeight="1" x14ac:dyDescent="0.3">
      <c r="A396" s="107" t="s">
        <v>399</v>
      </c>
    </row>
    <row r="397" spans="1:1" ht="16.2" customHeight="1" x14ac:dyDescent="0.3">
      <c r="A397" s="107" t="s">
        <v>603</v>
      </c>
    </row>
    <row r="398" spans="1:1" ht="16.2" customHeight="1" x14ac:dyDescent="0.3">
      <c r="A398" s="107" t="s">
        <v>604</v>
      </c>
    </row>
    <row r="399" spans="1:1" ht="16.2" customHeight="1" x14ac:dyDescent="0.3">
      <c r="A399" s="107" t="s">
        <v>400</v>
      </c>
    </row>
    <row r="400" spans="1:1" ht="16.2" customHeight="1" x14ac:dyDescent="0.3">
      <c r="A400" s="107" t="s">
        <v>401</v>
      </c>
    </row>
    <row r="401" spans="1:1" ht="16.2" customHeight="1" x14ac:dyDescent="0.3">
      <c r="A401" s="107" t="s">
        <v>402</v>
      </c>
    </row>
    <row r="402" spans="1:1" ht="16.2" customHeight="1" x14ac:dyDescent="0.3">
      <c r="A402" s="107" t="s">
        <v>605</v>
      </c>
    </row>
    <row r="403" spans="1:1" ht="16.2" customHeight="1" x14ac:dyDescent="0.3">
      <c r="A403" s="107" t="s">
        <v>403</v>
      </c>
    </row>
    <row r="404" spans="1:1" ht="16.2" customHeight="1" x14ac:dyDescent="0.3">
      <c r="A404" s="107" t="s">
        <v>606</v>
      </c>
    </row>
    <row r="405" spans="1:1" ht="16.2" customHeight="1" x14ac:dyDescent="0.3">
      <c r="A405" s="107" t="s">
        <v>449</v>
      </c>
    </row>
    <row r="406" spans="1:1" ht="16.2" customHeight="1" x14ac:dyDescent="0.3">
      <c r="A406" s="107" t="s">
        <v>607</v>
      </c>
    </row>
    <row r="407" spans="1:1" ht="16.2" customHeight="1" x14ac:dyDescent="0.3">
      <c r="A407" s="107" t="s">
        <v>404</v>
      </c>
    </row>
    <row r="408" spans="1:1" ht="16.2" customHeight="1" x14ac:dyDescent="0.3">
      <c r="A408" s="107" t="s">
        <v>608</v>
      </c>
    </row>
    <row r="409" spans="1:1" ht="16.2" customHeight="1" x14ac:dyDescent="0.3">
      <c r="A409" s="107" t="s">
        <v>450</v>
      </c>
    </row>
    <row r="410" spans="1:1" ht="16.2" customHeight="1" x14ac:dyDescent="0.3">
      <c r="A410" s="107" t="s">
        <v>451</v>
      </c>
    </row>
    <row r="411" spans="1:1" ht="16.2" customHeight="1" x14ac:dyDescent="0.3">
      <c r="A411" s="107" t="s">
        <v>609</v>
      </c>
    </row>
    <row r="412" spans="1:1" ht="16.2" customHeight="1" x14ac:dyDescent="0.3">
      <c r="A412" s="107" t="s">
        <v>452</v>
      </c>
    </row>
    <row r="413" spans="1:1" ht="16.2" customHeight="1" x14ac:dyDescent="0.3">
      <c r="A413" s="107" t="s">
        <v>453</v>
      </c>
    </row>
    <row r="414" spans="1:1" ht="16.2" customHeight="1" x14ac:dyDescent="0.3">
      <c r="A414" s="107" t="s">
        <v>405</v>
      </c>
    </row>
    <row r="415" spans="1:1" ht="16.2" customHeight="1" x14ac:dyDescent="0.3">
      <c r="A415" s="107" t="s">
        <v>454</v>
      </c>
    </row>
    <row r="416" spans="1:1" ht="16.2" customHeight="1" x14ac:dyDescent="0.3">
      <c r="A416" s="107" t="s">
        <v>406</v>
      </c>
    </row>
    <row r="417" spans="1:1" ht="16.2" customHeight="1" x14ac:dyDescent="0.3">
      <c r="A417" s="107" t="s">
        <v>455</v>
      </c>
    </row>
    <row r="418" spans="1:1" ht="16.2" customHeight="1" x14ac:dyDescent="0.3">
      <c r="A418" s="107" t="s">
        <v>610</v>
      </c>
    </row>
    <row r="419" spans="1:1" ht="16.2" customHeight="1" x14ac:dyDescent="0.3">
      <c r="A419" s="107" t="s">
        <v>456</v>
      </c>
    </row>
    <row r="420" spans="1:1" ht="16.2" customHeight="1" x14ac:dyDescent="0.3">
      <c r="A420" s="107" t="s">
        <v>611</v>
      </c>
    </row>
    <row r="421" spans="1:1" ht="16.2" customHeight="1" x14ac:dyDescent="0.3">
      <c r="A421" s="107" t="s">
        <v>407</v>
      </c>
    </row>
    <row r="422" spans="1:1" ht="16.2" customHeight="1" x14ac:dyDescent="0.3">
      <c r="A422" s="107" t="s">
        <v>408</v>
      </c>
    </row>
    <row r="423" spans="1:1" ht="16.2" customHeight="1" x14ac:dyDescent="0.3">
      <c r="A423" s="107" t="s">
        <v>612</v>
      </c>
    </row>
    <row r="424" spans="1:1" ht="16.2" customHeight="1" x14ac:dyDescent="0.3">
      <c r="A424" s="107" t="s">
        <v>613</v>
      </c>
    </row>
    <row r="425" spans="1:1" ht="16.2" customHeight="1" x14ac:dyDescent="0.3">
      <c r="A425" s="107" t="s">
        <v>457</v>
      </c>
    </row>
    <row r="426" spans="1:1" ht="16.2" customHeight="1" x14ac:dyDescent="0.3">
      <c r="A426" s="107" t="s">
        <v>409</v>
      </c>
    </row>
    <row r="427" spans="1:1" ht="16.2" customHeight="1" x14ac:dyDescent="0.3">
      <c r="A427" s="107" t="s">
        <v>410</v>
      </c>
    </row>
    <row r="428" spans="1:1" ht="16.2" customHeight="1" x14ac:dyDescent="0.3">
      <c r="A428" s="107" t="s">
        <v>458</v>
      </c>
    </row>
    <row r="429" spans="1:1" ht="16.2" customHeight="1" x14ac:dyDescent="0.3">
      <c r="A429" s="107" t="s">
        <v>614</v>
      </c>
    </row>
    <row r="430" spans="1:1" ht="16.2" customHeight="1" x14ac:dyDescent="0.3">
      <c r="A430" s="107" t="s">
        <v>459</v>
      </c>
    </row>
    <row r="431" spans="1:1" ht="16.2" customHeight="1" x14ac:dyDescent="0.3">
      <c r="A431" s="107" t="s">
        <v>411</v>
      </c>
    </row>
    <row r="432" spans="1:1" ht="16.2" customHeight="1" x14ac:dyDescent="0.3">
      <c r="A432" s="107" t="s">
        <v>460</v>
      </c>
    </row>
    <row r="433" spans="1:1" ht="16.2" customHeight="1" x14ac:dyDescent="0.3">
      <c r="A433" s="107" t="s">
        <v>412</v>
      </c>
    </row>
    <row r="434" spans="1:1" ht="16.2" customHeight="1" x14ac:dyDescent="0.3">
      <c r="A434" s="107" t="s">
        <v>413</v>
      </c>
    </row>
    <row r="435" spans="1:1" ht="16.2" customHeight="1" x14ac:dyDescent="0.3">
      <c r="A435" s="107" t="s">
        <v>461</v>
      </c>
    </row>
    <row r="436" spans="1:1" ht="16.2" customHeight="1" x14ac:dyDescent="0.3">
      <c r="A436" s="107" t="s">
        <v>615</v>
      </c>
    </row>
    <row r="437" spans="1:1" ht="16.2" customHeight="1" x14ac:dyDescent="0.3">
      <c r="A437" s="107" t="s">
        <v>462</v>
      </c>
    </row>
    <row r="438" spans="1:1" ht="16.2" customHeight="1" x14ac:dyDescent="0.3">
      <c r="A438" s="107" t="s">
        <v>463</v>
      </c>
    </row>
    <row r="439" spans="1:1" ht="16.2" customHeight="1" x14ac:dyDescent="0.3">
      <c r="A439" s="107" t="s">
        <v>464</v>
      </c>
    </row>
    <row r="440" spans="1:1" ht="16.2" customHeight="1" x14ac:dyDescent="0.3">
      <c r="A440" s="107" t="s">
        <v>465</v>
      </c>
    </row>
    <row r="441" spans="1:1" ht="16.2" customHeight="1" x14ac:dyDescent="0.3">
      <c r="A441" s="107" t="s">
        <v>616</v>
      </c>
    </row>
    <row r="442" spans="1:1" ht="16.2" customHeight="1" x14ac:dyDescent="0.3">
      <c r="A442" s="107" t="s">
        <v>466</v>
      </c>
    </row>
    <row r="443" spans="1:1" ht="16.2" customHeight="1" x14ac:dyDescent="0.3">
      <c r="A443" s="107" t="s">
        <v>617</v>
      </c>
    </row>
    <row r="444" spans="1:1" ht="16.2" customHeight="1" x14ac:dyDescent="0.3">
      <c r="A444" s="107" t="s">
        <v>618</v>
      </c>
    </row>
    <row r="445" spans="1:1" ht="16.2" customHeight="1" x14ac:dyDescent="0.3">
      <c r="A445" s="107" t="s">
        <v>414</v>
      </c>
    </row>
    <row r="446" spans="1:1" ht="16.2" customHeight="1" x14ac:dyDescent="0.3">
      <c r="A446" s="107" t="s">
        <v>415</v>
      </c>
    </row>
    <row r="447" spans="1:1" ht="16.2" customHeight="1" x14ac:dyDescent="0.3">
      <c r="A447" s="107" t="s">
        <v>619</v>
      </c>
    </row>
    <row r="448" spans="1:1" ht="16.2" customHeight="1" x14ac:dyDescent="0.3">
      <c r="A448" s="107" t="s">
        <v>620</v>
      </c>
    </row>
    <row r="449" spans="1:1" ht="16.2" customHeight="1" x14ac:dyDescent="0.3">
      <c r="A449" s="107" t="s">
        <v>467</v>
      </c>
    </row>
    <row r="450" spans="1:1" ht="16.2" customHeight="1" x14ac:dyDescent="0.3">
      <c r="A450" s="107" t="s">
        <v>468</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5"/>
  <sheetViews>
    <sheetView topLeftCell="A94" workbookViewId="0">
      <selection activeCell="E110" sqref="E110"/>
    </sheetView>
  </sheetViews>
  <sheetFormatPr defaultColWidth="8.88671875" defaultRowHeight="13.8" x14ac:dyDescent="0.3"/>
  <cols>
    <col min="1" max="1" width="6.6640625" style="52" customWidth="1"/>
    <col min="2" max="2" width="17.6640625" style="52" customWidth="1"/>
    <col min="3" max="3" width="20.109375" style="52" customWidth="1"/>
    <col min="4" max="4" width="10.88671875" style="52" customWidth="1"/>
    <col min="5" max="5" width="58.109375" style="52" customWidth="1"/>
    <col min="6" max="6" width="47.5546875" style="52" customWidth="1"/>
    <col min="7" max="7" width="21.44140625" style="52" customWidth="1"/>
    <col min="8" max="8" width="18.6640625" style="52" customWidth="1"/>
    <col min="9" max="9" width="18.109375" style="52" customWidth="1"/>
    <col min="10" max="10" width="18.33203125" style="52" customWidth="1"/>
    <col min="11" max="11" width="19" style="52" customWidth="1"/>
    <col min="12" max="12" width="18.109375" style="52" customWidth="1"/>
    <col min="13" max="16384" width="8.88671875" style="52"/>
  </cols>
  <sheetData>
    <row r="1" spans="1:18" s="37" customFormat="1" ht="15.6" customHeight="1" x14ac:dyDescent="0.3">
      <c r="A1" s="110" t="s">
        <v>107</v>
      </c>
      <c r="B1" s="110"/>
      <c r="C1" s="110"/>
      <c r="D1" s="110"/>
      <c r="E1" s="110"/>
      <c r="F1" s="110"/>
      <c r="G1" s="110"/>
      <c r="H1" s="110"/>
      <c r="I1" s="110"/>
      <c r="J1" s="110"/>
      <c r="K1" s="110"/>
      <c r="L1" s="110"/>
      <c r="M1" s="110"/>
      <c r="N1" s="110"/>
      <c r="O1" s="110"/>
      <c r="P1" s="110"/>
      <c r="Q1" s="110"/>
      <c r="R1" s="110"/>
    </row>
    <row r="2" spans="1:18" s="37" customFormat="1" ht="15.6" customHeight="1" x14ac:dyDescent="0.3">
      <c r="A2" s="38"/>
      <c r="B2" s="39"/>
      <c r="C2" s="38" t="s">
        <v>108</v>
      </c>
      <c r="D2" s="40" t="s">
        <v>184</v>
      </c>
      <c r="E2" s="40"/>
      <c r="F2" s="39"/>
      <c r="G2" s="39" t="s">
        <v>109</v>
      </c>
      <c r="H2" s="39"/>
      <c r="I2" s="39"/>
      <c r="J2" s="39"/>
      <c r="K2" s="39"/>
      <c r="L2" s="40"/>
      <c r="M2" s="40"/>
      <c r="N2" s="41"/>
      <c r="O2" s="41"/>
      <c r="P2" s="41"/>
      <c r="Q2" s="41"/>
      <c r="R2" s="41"/>
    </row>
    <row r="3" spans="1:18" s="37" customFormat="1" ht="15.6" customHeight="1" x14ac:dyDescent="0.3">
      <c r="A3" s="38"/>
      <c r="B3" s="39"/>
      <c r="C3" s="38" t="s">
        <v>110</v>
      </c>
      <c r="D3" s="40" t="s">
        <v>185</v>
      </c>
      <c r="E3" s="40"/>
      <c r="F3" s="39"/>
      <c r="G3" s="39" t="s">
        <v>16</v>
      </c>
      <c r="H3" s="39" t="s">
        <v>17</v>
      </c>
      <c r="I3" s="39" t="s">
        <v>18</v>
      </c>
      <c r="J3" s="39" t="s">
        <v>111</v>
      </c>
      <c r="K3" s="39" t="s">
        <v>112</v>
      </c>
      <c r="L3" s="42"/>
      <c r="M3" s="40"/>
      <c r="N3" s="41"/>
      <c r="O3" s="41"/>
      <c r="P3" s="41"/>
      <c r="Q3" s="41"/>
      <c r="R3" s="41"/>
    </row>
    <row r="4" spans="1:18" s="37" customFormat="1" ht="15.6" customHeight="1" x14ac:dyDescent="0.3">
      <c r="A4" s="38"/>
      <c r="B4" s="39"/>
      <c r="C4" s="40"/>
      <c r="D4" s="40" t="s">
        <v>186</v>
      </c>
      <c r="E4" s="40"/>
      <c r="F4" s="39"/>
      <c r="G4" s="39"/>
      <c r="H4" s="39"/>
      <c r="I4" s="39"/>
      <c r="J4" s="39"/>
      <c r="K4" s="39"/>
      <c r="L4" s="40"/>
      <c r="M4" s="40"/>
      <c r="N4" s="41"/>
      <c r="O4" s="41"/>
      <c r="P4" s="41"/>
      <c r="Q4" s="41"/>
      <c r="R4" s="41"/>
    </row>
    <row r="5" spans="1:18" s="37" customFormat="1" ht="15.6" customHeight="1" x14ac:dyDescent="0.3">
      <c r="A5" s="43" t="s">
        <v>113</v>
      </c>
      <c r="B5" s="44" t="s">
        <v>114</v>
      </c>
      <c r="C5" s="45" t="s">
        <v>115</v>
      </c>
      <c r="D5" s="45" t="s">
        <v>116</v>
      </c>
      <c r="E5" s="45"/>
      <c r="F5" s="41" t="s">
        <v>117</v>
      </c>
      <c r="G5" s="44" t="s">
        <v>118</v>
      </c>
      <c r="H5" s="44" t="s">
        <v>119</v>
      </c>
      <c r="I5" s="44" t="s">
        <v>120</v>
      </c>
      <c r="J5" s="44" t="s">
        <v>121</v>
      </c>
      <c r="K5" s="44" t="s">
        <v>122</v>
      </c>
      <c r="L5" s="45" t="s">
        <v>123</v>
      </c>
      <c r="M5" s="42"/>
      <c r="N5" s="41"/>
      <c r="O5" s="41"/>
      <c r="P5" s="41"/>
      <c r="Q5" s="41"/>
      <c r="R5" s="41"/>
    </row>
    <row r="6" spans="1:18" s="48" customFormat="1" ht="15.6" customHeight="1" x14ac:dyDescent="0.3">
      <c r="A6" s="53">
        <v>901</v>
      </c>
      <c r="B6" s="53" t="str">
        <f t="shared" ref="B6:B37" si="0">A6&amp;C6&amp;D6</f>
        <v xml:space="preserve">901PG.01.01A </v>
      </c>
      <c r="C6" s="53" t="s">
        <v>57</v>
      </c>
      <c r="D6" s="54" t="s">
        <v>124</v>
      </c>
      <c r="E6" s="34" t="s">
        <v>22</v>
      </c>
      <c r="F6" s="58"/>
      <c r="G6" s="58"/>
      <c r="H6" s="58"/>
      <c r="I6" s="58"/>
      <c r="J6" s="58"/>
      <c r="K6" s="58"/>
      <c r="L6" s="61"/>
      <c r="M6" s="46"/>
      <c r="N6" s="47"/>
      <c r="O6" s="47"/>
      <c r="P6" s="47"/>
      <c r="Q6" s="47"/>
      <c r="R6" s="47"/>
    </row>
    <row r="7" spans="1:18" s="48" customFormat="1" ht="15.6" customHeight="1" x14ac:dyDescent="0.3">
      <c r="A7" s="53">
        <v>902</v>
      </c>
      <c r="B7" s="53" t="str">
        <f t="shared" si="0"/>
        <v>902PG.01.01А</v>
      </c>
      <c r="C7" s="53" t="s">
        <v>57</v>
      </c>
      <c r="D7" s="54" t="s">
        <v>125</v>
      </c>
      <c r="E7" s="54"/>
      <c r="F7" s="58"/>
      <c r="G7" s="58"/>
      <c r="H7" s="58"/>
      <c r="I7" s="58"/>
      <c r="J7" s="58"/>
      <c r="K7" s="58"/>
      <c r="L7" s="61"/>
      <c r="M7" s="46"/>
      <c r="N7" s="47"/>
      <c r="O7" s="47"/>
      <c r="P7" s="47"/>
      <c r="Q7" s="47"/>
      <c r="R7" s="47"/>
    </row>
    <row r="8" spans="1:18" s="48" customFormat="1" ht="15.6" customHeight="1" x14ac:dyDescent="0.3">
      <c r="A8" s="53">
        <v>903</v>
      </c>
      <c r="B8" s="53" t="str">
        <f t="shared" si="0"/>
        <v>903PG.01.02A</v>
      </c>
      <c r="C8" s="53" t="s">
        <v>58</v>
      </c>
      <c r="D8" s="54" t="s">
        <v>16</v>
      </c>
      <c r="E8" s="34" t="s">
        <v>23</v>
      </c>
      <c r="F8" s="58"/>
      <c r="G8" s="56"/>
      <c r="H8" s="58"/>
      <c r="I8" s="58"/>
      <c r="J8" s="58"/>
      <c r="K8" s="58"/>
      <c r="L8" s="61"/>
      <c r="M8" s="46"/>
      <c r="N8" s="47"/>
      <c r="O8" s="47"/>
      <c r="P8" s="47"/>
      <c r="Q8" s="47"/>
      <c r="R8" s="47"/>
    </row>
    <row r="9" spans="1:18" s="48" customFormat="1" ht="15.6" customHeight="1" x14ac:dyDescent="0.3">
      <c r="A9" s="53">
        <v>904</v>
      </c>
      <c r="B9" s="53" t="str">
        <f t="shared" si="0"/>
        <v>904PG.01.02A</v>
      </c>
      <c r="C9" s="53" t="s">
        <v>58</v>
      </c>
      <c r="D9" s="54" t="s">
        <v>16</v>
      </c>
      <c r="E9" s="54"/>
      <c r="F9" s="58"/>
      <c r="G9" s="58"/>
      <c r="H9" s="58"/>
      <c r="I9" s="58"/>
      <c r="J9" s="58"/>
      <c r="K9" s="58"/>
      <c r="L9" s="61"/>
      <c r="M9" s="46"/>
      <c r="N9" s="47"/>
      <c r="O9" s="47"/>
      <c r="P9" s="47"/>
      <c r="Q9" s="47"/>
      <c r="R9" s="47"/>
    </row>
    <row r="10" spans="1:18" s="48" customFormat="1" ht="15.6" customHeight="1" x14ac:dyDescent="0.3">
      <c r="A10" s="53">
        <v>905</v>
      </c>
      <c r="B10" s="53" t="str">
        <f t="shared" si="0"/>
        <v>905PG.01.03A</v>
      </c>
      <c r="C10" s="53" t="s">
        <v>59</v>
      </c>
      <c r="D10" s="54" t="s">
        <v>16</v>
      </c>
      <c r="E10" s="34" t="s">
        <v>24</v>
      </c>
      <c r="F10" s="58"/>
      <c r="G10" s="58"/>
      <c r="H10" s="58"/>
      <c r="I10" s="58"/>
      <c r="J10" s="58"/>
      <c r="K10" s="58"/>
      <c r="L10" s="61"/>
      <c r="M10" s="46"/>
      <c r="N10" s="47"/>
      <c r="O10" s="47"/>
      <c r="P10" s="47"/>
      <c r="Q10" s="47"/>
      <c r="R10" s="47"/>
    </row>
    <row r="11" spans="1:18" s="48" customFormat="1" ht="15.6" customHeight="1" x14ac:dyDescent="0.3">
      <c r="A11" s="53">
        <v>906</v>
      </c>
      <c r="B11" s="53" t="str">
        <f t="shared" si="0"/>
        <v xml:space="preserve">906PG.01.03B </v>
      </c>
      <c r="C11" s="53" t="s">
        <v>59</v>
      </c>
      <c r="D11" s="54" t="s">
        <v>130</v>
      </c>
      <c r="E11" s="54"/>
      <c r="F11" s="58"/>
      <c r="G11" s="58"/>
      <c r="H11" s="58"/>
      <c r="I11" s="58"/>
      <c r="J11" s="58"/>
      <c r="K11" s="58"/>
      <c r="L11" s="61"/>
      <c r="M11" s="46"/>
      <c r="N11" s="47"/>
      <c r="O11" s="47"/>
      <c r="P11" s="47"/>
      <c r="Q11" s="47"/>
      <c r="R11" s="47"/>
    </row>
    <row r="12" spans="1:18" s="48" customFormat="1" ht="15.6" customHeight="1" x14ac:dyDescent="0.3">
      <c r="A12" s="53">
        <v>907</v>
      </c>
      <c r="B12" s="53" t="str">
        <f t="shared" si="0"/>
        <v>907PG.01.04B</v>
      </c>
      <c r="C12" s="53" t="s">
        <v>60</v>
      </c>
      <c r="D12" s="54" t="s">
        <v>17</v>
      </c>
      <c r="E12" s="34" t="s">
        <v>0</v>
      </c>
      <c r="F12" s="58"/>
      <c r="G12" s="58"/>
      <c r="H12" s="58"/>
      <c r="I12" s="58"/>
      <c r="J12" s="58"/>
      <c r="K12" s="58"/>
      <c r="L12" s="61"/>
      <c r="M12" s="46"/>
      <c r="N12" s="47"/>
      <c r="O12" s="47"/>
      <c r="P12" s="47"/>
      <c r="Q12" s="47"/>
      <c r="R12" s="47"/>
    </row>
    <row r="13" spans="1:18" s="48" customFormat="1" ht="15.6" customHeight="1" x14ac:dyDescent="0.3">
      <c r="A13" s="53">
        <v>908</v>
      </c>
      <c r="B13" s="53" t="str">
        <f t="shared" si="0"/>
        <v>908PG.01.04C</v>
      </c>
      <c r="C13" s="53" t="s">
        <v>60</v>
      </c>
      <c r="D13" s="54" t="s">
        <v>18</v>
      </c>
      <c r="E13" s="54"/>
      <c r="F13" s="58"/>
      <c r="G13" s="58"/>
      <c r="H13" s="58"/>
      <c r="I13" s="58"/>
      <c r="J13" s="58"/>
      <c r="K13" s="58"/>
      <c r="L13" s="61"/>
      <c r="M13" s="46"/>
      <c r="N13" s="47"/>
      <c r="O13" s="47"/>
      <c r="P13" s="47"/>
      <c r="Q13" s="47"/>
      <c r="R13" s="47"/>
    </row>
    <row r="14" spans="1:18" s="48" customFormat="1" ht="15.6" customHeight="1" x14ac:dyDescent="0.3">
      <c r="A14" s="53">
        <v>909</v>
      </c>
      <c r="B14" s="53" t="str">
        <f t="shared" si="0"/>
        <v>909PG.01.05B</v>
      </c>
      <c r="C14" s="53" t="s">
        <v>61</v>
      </c>
      <c r="D14" s="54" t="s">
        <v>17</v>
      </c>
      <c r="E14" s="34" t="s">
        <v>25</v>
      </c>
      <c r="F14" s="58"/>
      <c r="G14" s="58"/>
      <c r="H14" s="58"/>
      <c r="I14" s="58"/>
      <c r="J14" s="58"/>
      <c r="K14" s="59"/>
      <c r="L14" s="61"/>
      <c r="M14" s="46"/>
      <c r="N14" s="47"/>
      <c r="O14" s="47"/>
      <c r="P14" s="47"/>
      <c r="Q14" s="47"/>
      <c r="R14" s="47"/>
    </row>
    <row r="15" spans="1:18" s="48" customFormat="1" ht="15.6" customHeight="1" x14ac:dyDescent="0.3">
      <c r="A15" s="53">
        <v>910</v>
      </c>
      <c r="B15" s="53" t="str">
        <f t="shared" si="0"/>
        <v>910PG.01.05B</v>
      </c>
      <c r="C15" s="53" t="s">
        <v>61</v>
      </c>
      <c r="D15" s="54" t="s">
        <v>17</v>
      </c>
      <c r="E15" s="54"/>
      <c r="F15" s="58"/>
      <c r="G15" s="58"/>
      <c r="H15" s="58"/>
      <c r="I15" s="58"/>
      <c r="J15" s="58"/>
      <c r="K15" s="58"/>
      <c r="L15" s="61"/>
      <c r="M15" s="46"/>
      <c r="N15" s="47"/>
      <c r="O15" s="47"/>
      <c r="P15" s="47"/>
      <c r="Q15" s="47"/>
      <c r="R15" s="47"/>
    </row>
    <row r="16" spans="1:18" s="48" customFormat="1" ht="15.6" customHeight="1" x14ac:dyDescent="0.3">
      <c r="A16" s="53">
        <v>911</v>
      </c>
      <c r="B16" s="53" t="str">
        <f t="shared" si="0"/>
        <v>911PG.01.06B</v>
      </c>
      <c r="C16" s="53" t="s">
        <v>62</v>
      </c>
      <c r="D16" s="54" t="s">
        <v>17</v>
      </c>
      <c r="E16" s="34" t="s">
        <v>28</v>
      </c>
      <c r="F16" s="58"/>
      <c r="G16" s="58"/>
      <c r="H16" s="58"/>
      <c r="I16" s="58"/>
      <c r="J16" s="58"/>
      <c r="K16" s="58"/>
      <c r="L16" s="61"/>
      <c r="M16" s="46"/>
      <c r="N16" s="47"/>
      <c r="O16" s="47"/>
      <c r="P16" s="47"/>
      <c r="Q16" s="47"/>
      <c r="R16" s="47"/>
    </row>
    <row r="17" spans="1:18" s="48" customFormat="1" ht="15.6" customHeight="1" x14ac:dyDescent="0.3">
      <c r="A17" s="53">
        <v>912</v>
      </c>
      <c r="B17" s="53" t="str">
        <f t="shared" si="0"/>
        <v>912PG.01.06C</v>
      </c>
      <c r="C17" s="53" t="s">
        <v>62</v>
      </c>
      <c r="D17" s="54" t="s">
        <v>18</v>
      </c>
      <c r="E17" s="54"/>
      <c r="F17" s="58"/>
      <c r="G17" s="58"/>
      <c r="H17" s="58"/>
      <c r="I17" s="58"/>
      <c r="J17" s="58"/>
      <c r="K17" s="58"/>
      <c r="L17" s="61"/>
      <c r="M17" s="46"/>
      <c r="N17" s="47"/>
      <c r="O17" s="47"/>
      <c r="P17" s="47"/>
      <c r="Q17" s="47"/>
      <c r="R17" s="47"/>
    </row>
    <row r="18" spans="1:18" s="48" customFormat="1" ht="15.6" customHeight="1" x14ac:dyDescent="0.3">
      <c r="A18" s="53">
        <v>913</v>
      </c>
      <c r="B18" s="53" t="str">
        <f t="shared" si="0"/>
        <v>913PG.01.07B</v>
      </c>
      <c r="C18" s="53" t="s">
        <v>63</v>
      </c>
      <c r="D18" s="54" t="s">
        <v>17</v>
      </c>
      <c r="E18" s="34" t="s">
        <v>26</v>
      </c>
      <c r="F18" s="62"/>
      <c r="G18" s="62"/>
      <c r="H18" s="62"/>
      <c r="I18" s="62"/>
      <c r="J18" s="62"/>
      <c r="K18" s="62"/>
      <c r="L18" s="63"/>
      <c r="M18" s="49"/>
      <c r="N18" s="47"/>
      <c r="O18" s="47"/>
      <c r="P18" s="47"/>
      <c r="Q18" s="47"/>
      <c r="R18" s="47"/>
    </row>
    <row r="19" spans="1:18" s="48" customFormat="1" ht="15.6" customHeight="1" x14ac:dyDescent="0.3">
      <c r="A19" s="53">
        <v>914</v>
      </c>
      <c r="B19" s="53" t="str">
        <f t="shared" si="0"/>
        <v>914PG.01.07B</v>
      </c>
      <c r="C19" s="53" t="s">
        <v>63</v>
      </c>
      <c r="D19" s="54" t="s">
        <v>17</v>
      </c>
      <c r="E19" s="54"/>
      <c r="F19" s="62"/>
      <c r="G19" s="62"/>
      <c r="H19" s="62"/>
      <c r="I19" s="62"/>
      <c r="J19" s="62"/>
      <c r="K19" s="62"/>
      <c r="L19" s="63"/>
      <c r="M19" s="49"/>
      <c r="N19" s="47"/>
      <c r="O19" s="47"/>
      <c r="P19" s="47"/>
      <c r="Q19" s="47"/>
      <c r="R19" s="47"/>
    </row>
    <row r="20" spans="1:18" s="48" customFormat="1" ht="15.6" customHeight="1" x14ac:dyDescent="0.3">
      <c r="A20" s="53">
        <v>915</v>
      </c>
      <c r="B20" s="53" t="str">
        <f t="shared" si="0"/>
        <v>915PG.01.07C</v>
      </c>
      <c r="C20" s="53" t="s">
        <v>63</v>
      </c>
      <c r="D20" s="54" t="s">
        <v>18</v>
      </c>
      <c r="E20" s="54"/>
      <c r="F20" s="62"/>
      <c r="G20" s="62"/>
      <c r="H20" s="62"/>
      <c r="I20" s="62"/>
      <c r="J20" s="62"/>
      <c r="K20" s="62"/>
      <c r="L20" s="63"/>
      <c r="M20" s="46"/>
      <c r="N20" s="47"/>
      <c r="O20" s="47"/>
      <c r="P20" s="47"/>
      <c r="Q20" s="47"/>
      <c r="R20" s="47"/>
    </row>
    <row r="21" spans="1:18" s="48" customFormat="1" ht="15.6" customHeight="1" x14ac:dyDescent="0.3">
      <c r="A21" s="53">
        <v>916</v>
      </c>
      <c r="B21" s="53" t="str">
        <f t="shared" si="0"/>
        <v>916PG.01.08B</v>
      </c>
      <c r="C21" s="53" t="s">
        <v>64</v>
      </c>
      <c r="D21" s="54" t="s">
        <v>17</v>
      </c>
      <c r="E21" s="34" t="s">
        <v>27</v>
      </c>
      <c r="F21" s="58"/>
      <c r="G21" s="58"/>
      <c r="H21" s="58"/>
      <c r="I21" s="58"/>
      <c r="J21" s="58"/>
      <c r="K21" s="58"/>
      <c r="L21" s="64"/>
      <c r="M21" s="46"/>
      <c r="N21" s="47"/>
      <c r="O21" s="47"/>
      <c r="P21" s="47"/>
      <c r="Q21" s="47"/>
      <c r="R21" s="47"/>
    </row>
    <row r="22" spans="1:18" s="48" customFormat="1" ht="15.6" customHeight="1" x14ac:dyDescent="0.3">
      <c r="A22" s="53">
        <v>917</v>
      </c>
      <c r="B22" s="53" t="str">
        <f t="shared" si="0"/>
        <v>917PG.01.08B</v>
      </c>
      <c r="C22" s="53" t="s">
        <v>64</v>
      </c>
      <c r="D22" s="54" t="s">
        <v>17</v>
      </c>
      <c r="E22" s="54"/>
      <c r="F22" s="58"/>
      <c r="G22" s="58"/>
      <c r="H22" s="58"/>
      <c r="I22" s="58"/>
      <c r="J22" s="58"/>
      <c r="K22" s="58"/>
      <c r="L22" s="64"/>
      <c r="M22" s="46"/>
      <c r="N22" s="47"/>
      <c r="O22" s="47"/>
      <c r="P22" s="47"/>
      <c r="Q22" s="47"/>
      <c r="R22" s="47"/>
    </row>
    <row r="23" spans="1:18" s="48" customFormat="1" ht="15.6" customHeight="1" x14ac:dyDescent="0.3">
      <c r="A23" s="53">
        <v>918</v>
      </c>
      <c r="B23" s="53" t="str">
        <f t="shared" si="0"/>
        <v>918PG.02.01A</v>
      </c>
      <c r="C23" s="53" t="s">
        <v>65</v>
      </c>
      <c r="D23" s="54" t="s">
        <v>16</v>
      </c>
      <c r="E23" s="35" t="s">
        <v>3</v>
      </c>
      <c r="F23" s="58"/>
      <c r="G23" s="58"/>
      <c r="H23" s="58"/>
      <c r="I23" s="58"/>
      <c r="J23" s="58"/>
      <c r="K23" s="58"/>
      <c r="L23" s="64"/>
      <c r="M23" s="46"/>
      <c r="N23" s="47"/>
      <c r="O23" s="47"/>
      <c r="P23" s="47"/>
      <c r="Q23" s="47"/>
      <c r="R23" s="47"/>
    </row>
    <row r="24" spans="1:18" s="48" customFormat="1" ht="15.6" customHeight="1" x14ac:dyDescent="0.3">
      <c r="A24" s="53">
        <v>919</v>
      </c>
      <c r="B24" s="53" t="str">
        <f t="shared" si="0"/>
        <v>919PG.02.01B</v>
      </c>
      <c r="C24" s="53" t="s">
        <v>65</v>
      </c>
      <c r="D24" s="54" t="s">
        <v>17</v>
      </c>
      <c r="E24" s="54"/>
      <c r="F24" s="58"/>
      <c r="G24" s="58"/>
      <c r="H24" s="58"/>
      <c r="I24" s="58"/>
      <c r="J24" s="58"/>
      <c r="K24" s="58"/>
      <c r="L24" s="64"/>
      <c r="M24" s="46"/>
      <c r="N24" s="47"/>
      <c r="O24" s="47"/>
      <c r="P24" s="47"/>
      <c r="Q24" s="47"/>
      <c r="R24" s="47"/>
    </row>
    <row r="25" spans="1:18" s="48" customFormat="1" ht="15.6" customHeight="1" x14ac:dyDescent="0.3">
      <c r="A25" s="53">
        <v>920</v>
      </c>
      <c r="B25" s="53" t="str">
        <f t="shared" si="0"/>
        <v>920PG.02.01C</v>
      </c>
      <c r="C25" s="53" t="s">
        <v>65</v>
      </c>
      <c r="D25" s="54" t="s">
        <v>18</v>
      </c>
      <c r="E25" s="54"/>
      <c r="F25" s="58"/>
      <c r="G25" s="58"/>
      <c r="H25" s="58"/>
      <c r="I25" s="58"/>
      <c r="J25" s="58"/>
      <c r="K25" s="58"/>
      <c r="L25" s="64"/>
      <c r="M25" s="46"/>
      <c r="N25" s="47"/>
      <c r="O25" s="47"/>
      <c r="P25" s="47"/>
      <c r="Q25" s="47"/>
      <c r="R25" s="47"/>
    </row>
    <row r="26" spans="1:18" s="48" customFormat="1" ht="15.6" customHeight="1" x14ac:dyDescent="0.3">
      <c r="A26" s="53">
        <v>921</v>
      </c>
      <c r="B26" s="53" t="str">
        <f t="shared" si="0"/>
        <v>921PG.02.02A</v>
      </c>
      <c r="C26" s="53" t="s">
        <v>66</v>
      </c>
      <c r="D26" s="54" t="s">
        <v>16</v>
      </c>
      <c r="E26" s="35" t="s">
        <v>4</v>
      </c>
      <c r="F26" s="58"/>
      <c r="G26" s="58"/>
      <c r="H26" s="58"/>
      <c r="I26" s="58"/>
      <c r="J26" s="58"/>
      <c r="K26" s="58"/>
      <c r="L26" s="61"/>
      <c r="M26" s="46"/>
      <c r="N26" s="47"/>
      <c r="O26" s="47"/>
      <c r="P26" s="47"/>
      <c r="Q26" s="47"/>
      <c r="R26" s="47"/>
    </row>
    <row r="27" spans="1:18" s="48" customFormat="1" ht="15.6" customHeight="1" x14ac:dyDescent="0.3">
      <c r="A27" s="53">
        <v>922</v>
      </c>
      <c r="B27" s="53" t="str">
        <f t="shared" si="0"/>
        <v>922PG.02.02B</v>
      </c>
      <c r="C27" s="53" t="s">
        <v>66</v>
      </c>
      <c r="D27" s="54" t="s">
        <v>17</v>
      </c>
      <c r="E27" s="54"/>
      <c r="F27" s="58"/>
      <c r="G27" s="58"/>
      <c r="H27" s="58"/>
      <c r="I27" s="58"/>
      <c r="J27" s="58"/>
      <c r="K27" s="58"/>
      <c r="L27" s="61"/>
      <c r="M27" s="46"/>
      <c r="N27" s="47"/>
      <c r="O27" s="47"/>
      <c r="P27" s="47"/>
      <c r="Q27" s="47"/>
      <c r="R27" s="47"/>
    </row>
    <row r="28" spans="1:18" s="48" customFormat="1" ht="15.6" customHeight="1" x14ac:dyDescent="0.3">
      <c r="A28" s="53">
        <v>923</v>
      </c>
      <c r="B28" s="53" t="str">
        <f t="shared" si="0"/>
        <v>923PG.02.03A</v>
      </c>
      <c r="C28" s="53" t="s">
        <v>67</v>
      </c>
      <c r="D28" s="54" t="s">
        <v>16</v>
      </c>
      <c r="E28" s="35" t="s">
        <v>12</v>
      </c>
      <c r="F28" s="58"/>
      <c r="G28" s="65"/>
      <c r="H28" s="65"/>
      <c r="I28" s="65"/>
      <c r="J28" s="65"/>
      <c r="K28" s="58"/>
      <c r="L28" s="61"/>
      <c r="M28" s="46"/>
      <c r="N28" s="47"/>
      <c r="O28" s="47"/>
      <c r="P28" s="47"/>
      <c r="Q28" s="47"/>
      <c r="R28" s="47"/>
    </row>
    <row r="29" spans="1:18" s="48" customFormat="1" ht="15.6" customHeight="1" x14ac:dyDescent="0.3">
      <c r="A29" s="53">
        <v>924</v>
      </c>
      <c r="B29" s="53" t="str">
        <f t="shared" si="0"/>
        <v>924PG.02.03C</v>
      </c>
      <c r="C29" s="53" t="s">
        <v>67</v>
      </c>
      <c r="D29" s="54" t="s">
        <v>18</v>
      </c>
      <c r="E29" s="54"/>
      <c r="F29" s="58"/>
      <c r="G29" s="65"/>
      <c r="H29" s="65"/>
      <c r="I29" s="65"/>
      <c r="J29" s="65"/>
      <c r="K29" s="58"/>
      <c r="L29" s="61"/>
      <c r="M29" s="46"/>
      <c r="N29" s="47"/>
      <c r="O29" s="47"/>
      <c r="P29" s="47"/>
      <c r="Q29" s="47"/>
      <c r="R29" s="47"/>
    </row>
    <row r="30" spans="1:18" s="48" customFormat="1" ht="15.6" customHeight="1" x14ac:dyDescent="0.3">
      <c r="A30" s="53">
        <v>925</v>
      </c>
      <c r="B30" s="53" t="str">
        <f t="shared" si="0"/>
        <v>925PG.02.04A</v>
      </c>
      <c r="C30" s="53" t="s">
        <v>68</v>
      </c>
      <c r="D30" s="54" t="s">
        <v>16</v>
      </c>
      <c r="E30" s="35" t="s">
        <v>46</v>
      </c>
      <c r="F30" s="58"/>
      <c r="G30" s="58"/>
      <c r="H30" s="58"/>
      <c r="I30" s="58"/>
      <c r="J30" s="58"/>
      <c r="K30" s="58"/>
      <c r="L30" s="61"/>
      <c r="M30" s="46"/>
      <c r="N30" s="47"/>
      <c r="O30" s="47"/>
      <c r="P30" s="47"/>
      <c r="Q30" s="47"/>
      <c r="R30" s="47"/>
    </row>
    <row r="31" spans="1:18" s="48" customFormat="1" ht="15.6" customHeight="1" x14ac:dyDescent="0.3">
      <c r="A31" s="53">
        <v>926</v>
      </c>
      <c r="B31" s="53" t="str">
        <f t="shared" si="0"/>
        <v>926PG.02.04B</v>
      </c>
      <c r="C31" s="53" t="s">
        <v>68</v>
      </c>
      <c r="D31" s="54" t="s">
        <v>17</v>
      </c>
      <c r="E31" s="54"/>
      <c r="F31" s="58"/>
      <c r="G31" s="58"/>
      <c r="H31" s="58"/>
      <c r="I31" s="58"/>
      <c r="J31" s="58"/>
      <c r="K31" s="58"/>
      <c r="L31" s="61"/>
      <c r="M31" s="46"/>
      <c r="N31" s="47"/>
      <c r="O31" s="47"/>
      <c r="P31" s="47"/>
      <c r="Q31" s="47"/>
      <c r="R31" s="47"/>
    </row>
    <row r="32" spans="1:18" s="48" customFormat="1" ht="15.6" customHeight="1" x14ac:dyDescent="0.3">
      <c r="A32" s="53">
        <v>927</v>
      </c>
      <c r="B32" s="53" t="str">
        <f t="shared" si="0"/>
        <v>927PG.02.05A</v>
      </c>
      <c r="C32" s="53" t="s">
        <v>69</v>
      </c>
      <c r="D32" s="54" t="s">
        <v>16</v>
      </c>
      <c r="E32" s="35" t="s">
        <v>100</v>
      </c>
      <c r="F32" s="58"/>
      <c r="G32" s="58"/>
      <c r="H32" s="58"/>
      <c r="I32" s="58"/>
      <c r="J32" s="58"/>
      <c r="K32" s="58"/>
      <c r="L32" s="61"/>
      <c r="M32" s="49"/>
      <c r="N32" s="47"/>
      <c r="O32" s="47"/>
      <c r="P32" s="47"/>
      <c r="Q32" s="47"/>
      <c r="R32" s="47"/>
    </row>
    <row r="33" spans="1:18" s="48" customFormat="1" ht="15.6" customHeight="1" x14ac:dyDescent="0.3">
      <c r="A33" s="53">
        <v>928</v>
      </c>
      <c r="B33" s="53" t="str">
        <f t="shared" si="0"/>
        <v>928PG.02.05B</v>
      </c>
      <c r="C33" s="53" t="s">
        <v>69</v>
      </c>
      <c r="D33" s="54" t="s">
        <v>17</v>
      </c>
      <c r="E33" s="54"/>
      <c r="F33" s="58"/>
      <c r="G33" s="58"/>
      <c r="H33" s="58"/>
      <c r="I33" s="58"/>
      <c r="J33" s="58"/>
      <c r="K33" s="58"/>
      <c r="L33" s="61"/>
      <c r="M33" s="46"/>
      <c r="N33" s="47"/>
      <c r="O33" s="47"/>
      <c r="P33" s="47"/>
      <c r="Q33" s="47"/>
      <c r="R33" s="47"/>
    </row>
    <row r="34" spans="1:18" s="48" customFormat="1" ht="15.6" customHeight="1" x14ac:dyDescent="0.3">
      <c r="A34" s="53">
        <v>929</v>
      </c>
      <c r="B34" s="53" t="str">
        <f t="shared" si="0"/>
        <v>929PG.02.06A</v>
      </c>
      <c r="C34" s="53" t="s">
        <v>70</v>
      </c>
      <c r="D34" s="54" t="s">
        <v>16</v>
      </c>
      <c r="E34" s="35" t="s">
        <v>47</v>
      </c>
      <c r="F34" s="58"/>
      <c r="G34" s="58"/>
      <c r="H34" s="58"/>
      <c r="I34" s="58"/>
      <c r="J34" s="58"/>
      <c r="K34" s="58"/>
      <c r="L34" s="61"/>
      <c r="M34" s="46"/>
      <c r="N34" s="47"/>
      <c r="O34" s="47"/>
      <c r="P34" s="47"/>
      <c r="Q34" s="47"/>
      <c r="R34" s="47"/>
    </row>
    <row r="35" spans="1:18" s="48" customFormat="1" ht="15.6" customHeight="1" x14ac:dyDescent="0.3">
      <c r="A35" s="53">
        <v>930</v>
      </c>
      <c r="B35" s="53" t="str">
        <f t="shared" si="0"/>
        <v>930PG.02.06B</v>
      </c>
      <c r="C35" s="53" t="s">
        <v>70</v>
      </c>
      <c r="D35" s="54" t="s">
        <v>17</v>
      </c>
      <c r="F35" s="58"/>
      <c r="G35" s="58"/>
      <c r="H35" s="58"/>
      <c r="I35" s="58"/>
      <c r="J35" s="58"/>
      <c r="K35" s="58"/>
      <c r="L35" s="61"/>
      <c r="M35" s="49"/>
      <c r="N35" s="47"/>
      <c r="O35" s="47"/>
      <c r="P35" s="47"/>
      <c r="Q35" s="47"/>
      <c r="R35" s="47"/>
    </row>
    <row r="36" spans="1:18" s="48" customFormat="1" ht="15.6" customHeight="1" x14ac:dyDescent="0.3">
      <c r="A36" s="53">
        <v>931</v>
      </c>
      <c r="B36" s="53" t="str">
        <f t="shared" si="0"/>
        <v>931PG.02.07B</v>
      </c>
      <c r="C36" s="53" t="s">
        <v>71</v>
      </c>
      <c r="D36" s="54" t="s">
        <v>17</v>
      </c>
      <c r="E36" s="35" t="s">
        <v>29</v>
      </c>
      <c r="F36" s="58"/>
      <c r="G36" s="58"/>
      <c r="H36" s="58"/>
      <c r="I36" s="58"/>
      <c r="J36" s="58"/>
      <c r="K36" s="58"/>
      <c r="L36" s="61"/>
      <c r="M36" s="46"/>
      <c r="N36" s="47"/>
      <c r="O36" s="47"/>
      <c r="P36" s="47"/>
      <c r="Q36" s="47"/>
      <c r="R36" s="47"/>
    </row>
    <row r="37" spans="1:18" s="48" customFormat="1" ht="15.6" customHeight="1" x14ac:dyDescent="0.3">
      <c r="A37" s="53">
        <v>932</v>
      </c>
      <c r="B37" s="53" t="str">
        <f t="shared" si="0"/>
        <v>932PG.02.07C</v>
      </c>
      <c r="C37" s="53" t="s">
        <v>71</v>
      </c>
      <c r="D37" s="54" t="s">
        <v>18</v>
      </c>
      <c r="F37" s="58"/>
      <c r="G37" s="58"/>
      <c r="H37" s="58"/>
      <c r="I37" s="58"/>
      <c r="J37" s="58"/>
      <c r="K37" s="58"/>
      <c r="L37" s="61"/>
      <c r="M37" s="46"/>
      <c r="N37" s="47"/>
      <c r="O37" s="47"/>
      <c r="P37" s="47"/>
      <c r="Q37" s="47"/>
      <c r="R37" s="47"/>
    </row>
    <row r="38" spans="1:18" s="48" customFormat="1" ht="15.6" customHeight="1" x14ac:dyDescent="0.3">
      <c r="A38" s="53">
        <v>933</v>
      </c>
      <c r="B38" s="53" t="str">
        <f t="shared" ref="B38:B69" si="1">A38&amp;C38&amp;D38</f>
        <v>933PG.02.08B</v>
      </c>
      <c r="C38" s="53" t="s">
        <v>72</v>
      </c>
      <c r="D38" s="54" t="s">
        <v>17</v>
      </c>
      <c r="E38" s="35" t="s">
        <v>30</v>
      </c>
      <c r="F38" s="58"/>
      <c r="G38" s="58"/>
      <c r="H38" s="58"/>
      <c r="I38" s="58"/>
      <c r="J38" s="58"/>
      <c r="K38" s="58"/>
      <c r="L38" s="61"/>
      <c r="M38" s="46"/>
      <c r="N38" s="47"/>
      <c r="O38" s="47"/>
      <c r="P38" s="47"/>
      <c r="Q38" s="47"/>
      <c r="R38" s="47"/>
    </row>
    <row r="39" spans="1:18" s="48" customFormat="1" ht="15.6" customHeight="1" x14ac:dyDescent="0.3">
      <c r="A39" s="53">
        <v>934</v>
      </c>
      <c r="B39" s="53" t="str">
        <f t="shared" si="1"/>
        <v>934PG.02.08C</v>
      </c>
      <c r="C39" s="53" t="s">
        <v>72</v>
      </c>
      <c r="D39" s="54" t="s">
        <v>18</v>
      </c>
      <c r="F39" s="58"/>
      <c r="G39" s="58"/>
      <c r="H39" s="58"/>
      <c r="I39" s="58"/>
      <c r="J39" s="58"/>
      <c r="K39" s="58"/>
      <c r="L39" s="61"/>
      <c r="M39" s="46"/>
      <c r="N39" s="47"/>
      <c r="O39" s="47"/>
      <c r="P39" s="47"/>
      <c r="Q39" s="47"/>
      <c r="R39" s="47"/>
    </row>
    <row r="40" spans="1:18" s="48" customFormat="1" ht="15.6" customHeight="1" x14ac:dyDescent="0.3">
      <c r="A40" s="53">
        <v>935</v>
      </c>
      <c r="B40" s="53" t="str">
        <f t="shared" si="1"/>
        <v>935PG.03.01A</v>
      </c>
      <c r="C40" s="53" t="s">
        <v>73</v>
      </c>
      <c r="D40" s="54" t="s">
        <v>16</v>
      </c>
      <c r="E40" s="79" t="s">
        <v>5</v>
      </c>
      <c r="F40" s="58"/>
      <c r="G40" s="58"/>
      <c r="H40" s="58"/>
      <c r="I40" s="58"/>
      <c r="J40" s="58"/>
      <c r="K40" s="58"/>
      <c r="L40" s="61"/>
      <c r="M40" s="46"/>
      <c r="N40" s="47"/>
      <c r="O40" s="47"/>
      <c r="P40" s="47"/>
      <c r="Q40" s="47"/>
      <c r="R40" s="47"/>
    </row>
    <row r="41" spans="1:18" s="48" customFormat="1" ht="15.6" customHeight="1" x14ac:dyDescent="0.3">
      <c r="A41" s="53">
        <v>936</v>
      </c>
      <c r="B41" s="53" t="str">
        <f t="shared" si="1"/>
        <v>936PG.03.01B</v>
      </c>
      <c r="C41" s="53" t="s">
        <v>73</v>
      </c>
      <c r="D41" s="54" t="s">
        <v>17</v>
      </c>
      <c r="E41" s="54"/>
      <c r="F41" s="55"/>
      <c r="G41" s="55"/>
      <c r="H41" s="55"/>
      <c r="I41" s="55"/>
      <c r="J41" s="55"/>
      <c r="K41" s="55"/>
      <c r="L41" s="66"/>
      <c r="M41" s="46"/>
      <c r="N41" s="47"/>
      <c r="O41" s="47"/>
      <c r="P41" s="47"/>
      <c r="Q41" s="47"/>
      <c r="R41" s="47"/>
    </row>
    <row r="42" spans="1:18" s="48" customFormat="1" ht="15.6" customHeight="1" x14ac:dyDescent="0.3">
      <c r="A42" s="53">
        <v>937</v>
      </c>
      <c r="B42" s="53" t="str">
        <f t="shared" si="1"/>
        <v>937PG.03.02A</v>
      </c>
      <c r="C42" s="53" t="s">
        <v>74</v>
      </c>
      <c r="D42" s="54" t="s">
        <v>16</v>
      </c>
      <c r="E42" s="79" t="s">
        <v>6</v>
      </c>
      <c r="F42" s="57"/>
      <c r="G42" s="58"/>
      <c r="H42" s="58"/>
      <c r="I42" s="58"/>
      <c r="J42" s="58"/>
      <c r="K42" s="58"/>
      <c r="L42" s="61"/>
      <c r="M42" s="46"/>
      <c r="N42" s="47"/>
      <c r="O42" s="47"/>
      <c r="P42" s="47"/>
      <c r="Q42" s="47"/>
      <c r="R42" s="47"/>
    </row>
    <row r="43" spans="1:18" s="48" customFormat="1" ht="15.6" customHeight="1" x14ac:dyDescent="0.3">
      <c r="A43" s="53">
        <v>938</v>
      </c>
      <c r="B43" s="53" t="str">
        <f t="shared" si="1"/>
        <v>938PG.03.02B</v>
      </c>
      <c r="C43" s="53" t="s">
        <v>74</v>
      </c>
      <c r="D43" s="54" t="s">
        <v>17</v>
      </c>
      <c r="E43" s="54"/>
      <c r="F43" s="55"/>
      <c r="G43" s="67"/>
      <c r="H43" s="67"/>
      <c r="I43" s="67"/>
      <c r="J43" s="67"/>
      <c r="K43" s="67"/>
      <c r="L43" s="66"/>
      <c r="M43" s="46"/>
      <c r="N43" s="47"/>
      <c r="O43" s="47"/>
      <c r="P43" s="47"/>
      <c r="Q43" s="47"/>
      <c r="R43" s="47"/>
    </row>
    <row r="44" spans="1:18" s="48" customFormat="1" ht="15.6" customHeight="1" x14ac:dyDescent="0.3">
      <c r="A44" s="53">
        <v>939</v>
      </c>
      <c r="B44" s="53" t="str">
        <f t="shared" si="1"/>
        <v>939PG.03.03A</v>
      </c>
      <c r="C44" s="53" t="s">
        <v>75</v>
      </c>
      <c r="D44" s="54" t="s">
        <v>16</v>
      </c>
      <c r="E44" s="79" t="s">
        <v>7</v>
      </c>
      <c r="F44" s="58"/>
      <c r="G44" s="58"/>
      <c r="H44" s="58"/>
      <c r="I44" s="58"/>
      <c r="J44" s="58"/>
      <c r="K44" s="58"/>
      <c r="L44" s="61"/>
      <c r="M44" s="46"/>
      <c r="N44" s="47"/>
      <c r="O44" s="47"/>
      <c r="P44" s="47"/>
      <c r="Q44" s="47"/>
      <c r="R44" s="47"/>
    </row>
    <row r="45" spans="1:18" s="48" customFormat="1" ht="15.6" customHeight="1" x14ac:dyDescent="0.3">
      <c r="A45" s="53">
        <v>940</v>
      </c>
      <c r="B45" s="53" t="str">
        <f t="shared" si="1"/>
        <v>940PG.03.03B</v>
      </c>
      <c r="C45" s="53" t="s">
        <v>75</v>
      </c>
      <c r="D45" s="54" t="s">
        <v>17</v>
      </c>
      <c r="E45" s="54"/>
      <c r="F45" s="58"/>
      <c r="G45" s="58"/>
      <c r="H45" s="58"/>
      <c r="I45" s="58"/>
      <c r="J45" s="58"/>
      <c r="K45" s="58"/>
      <c r="L45" s="61"/>
      <c r="M45" s="46"/>
      <c r="N45" s="47"/>
      <c r="O45" s="47"/>
      <c r="P45" s="47"/>
      <c r="Q45" s="47"/>
      <c r="R45" s="47"/>
    </row>
    <row r="46" spans="1:18" s="48" customFormat="1" ht="15.6" customHeight="1" x14ac:dyDescent="0.3">
      <c r="A46" s="53">
        <v>941</v>
      </c>
      <c r="B46" s="53" t="str">
        <f t="shared" si="1"/>
        <v>941PG.03.04A</v>
      </c>
      <c r="C46" s="53" t="s">
        <v>76</v>
      </c>
      <c r="D46" s="54" t="s">
        <v>16</v>
      </c>
      <c r="E46" s="79" t="s">
        <v>8</v>
      </c>
      <c r="F46" s="58"/>
      <c r="G46" s="58"/>
      <c r="H46" s="58"/>
      <c r="I46" s="58"/>
      <c r="J46" s="58"/>
      <c r="K46" s="58"/>
      <c r="L46" s="61"/>
      <c r="M46" s="46"/>
      <c r="N46" s="47"/>
      <c r="O46" s="47"/>
      <c r="P46" s="47"/>
      <c r="Q46" s="47"/>
      <c r="R46" s="47"/>
    </row>
    <row r="47" spans="1:18" s="48" customFormat="1" ht="15.6" customHeight="1" x14ac:dyDescent="0.3">
      <c r="A47" s="53">
        <v>942</v>
      </c>
      <c r="B47" s="53" t="str">
        <f t="shared" si="1"/>
        <v>942PG.03.04B</v>
      </c>
      <c r="C47" s="53" t="s">
        <v>76</v>
      </c>
      <c r="D47" s="54" t="s">
        <v>17</v>
      </c>
      <c r="E47" s="54"/>
      <c r="F47" s="55"/>
      <c r="G47" s="68"/>
      <c r="H47" s="69"/>
      <c r="I47" s="55"/>
      <c r="J47" s="69"/>
      <c r="K47" s="55"/>
      <c r="L47" s="70"/>
      <c r="M47" s="46"/>
      <c r="N47" s="47"/>
      <c r="O47" s="47"/>
      <c r="P47" s="47"/>
      <c r="Q47" s="47"/>
      <c r="R47" s="47"/>
    </row>
    <row r="48" spans="1:18" s="48" customFormat="1" ht="15.6" customHeight="1" x14ac:dyDescent="0.3">
      <c r="A48" s="53">
        <v>943</v>
      </c>
      <c r="B48" s="53" t="str">
        <f t="shared" si="1"/>
        <v>943PG.03.05A</v>
      </c>
      <c r="C48" s="53" t="s">
        <v>77</v>
      </c>
      <c r="D48" s="54" t="s">
        <v>16</v>
      </c>
      <c r="E48" s="79" t="s">
        <v>9</v>
      </c>
      <c r="F48" s="55"/>
      <c r="G48" s="55"/>
      <c r="H48" s="55"/>
      <c r="I48" s="55"/>
      <c r="J48" s="55"/>
      <c r="K48" s="68"/>
      <c r="L48" s="70"/>
      <c r="M48" s="49"/>
      <c r="N48" s="47"/>
      <c r="O48" s="47"/>
      <c r="P48" s="47"/>
      <c r="Q48" s="47"/>
      <c r="R48" s="47"/>
    </row>
    <row r="49" spans="1:18" s="48" customFormat="1" ht="15.6" customHeight="1" x14ac:dyDescent="0.3">
      <c r="A49" s="53">
        <v>944</v>
      </c>
      <c r="B49" s="53" t="str">
        <f t="shared" si="1"/>
        <v>944PG.03.05B</v>
      </c>
      <c r="C49" s="53" t="s">
        <v>77</v>
      </c>
      <c r="D49" s="54" t="s">
        <v>17</v>
      </c>
      <c r="E49" s="54"/>
      <c r="F49" s="55"/>
      <c r="G49" s="55"/>
      <c r="H49" s="55"/>
      <c r="I49" s="55"/>
      <c r="J49" s="55"/>
      <c r="K49" s="55"/>
      <c r="L49" s="66"/>
      <c r="M49" s="46"/>
      <c r="N49" s="47"/>
      <c r="O49" s="47"/>
      <c r="P49" s="47"/>
      <c r="Q49" s="47"/>
      <c r="R49" s="47"/>
    </row>
    <row r="50" spans="1:18" s="48" customFormat="1" ht="15.6" customHeight="1" x14ac:dyDescent="0.3">
      <c r="A50" s="53">
        <v>945</v>
      </c>
      <c r="B50" s="53" t="str">
        <f t="shared" si="1"/>
        <v>945PG.03.06B</v>
      </c>
      <c r="C50" s="53" t="s">
        <v>78</v>
      </c>
      <c r="D50" s="54" t="s">
        <v>17</v>
      </c>
      <c r="E50" s="79" t="s">
        <v>31</v>
      </c>
      <c r="F50" s="58"/>
      <c r="G50" s="58"/>
      <c r="H50" s="58"/>
      <c r="I50" s="58"/>
      <c r="J50" s="58"/>
      <c r="K50" s="58"/>
      <c r="L50" s="61"/>
      <c r="M50" s="46"/>
      <c r="N50" s="47"/>
      <c r="O50" s="47"/>
      <c r="P50" s="47"/>
      <c r="Q50" s="47"/>
      <c r="R50" s="47"/>
    </row>
    <row r="51" spans="1:18" s="48" customFormat="1" ht="15.6" customHeight="1" x14ac:dyDescent="0.3">
      <c r="A51" s="53">
        <v>946</v>
      </c>
      <c r="B51" s="53" t="str">
        <f t="shared" si="1"/>
        <v>946PG.03.06C</v>
      </c>
      <c r="C51" s="53" t="s">
        <v>78</v>
      </c>
      <c r="D51" s="54" t="s">
        <v>18</v>
      </c>
      <c r="E51" s="54"/>
      <c r="F51" s="67"/>
      <c r="G51" s="55"/>
      <c r="H51" s="55"/>
      <c r="I51" s="67"/>
      <c r="J51" s="55"/>
      <c r="K51" s="55"/>
      <c r="L51" s="66"/>
      <c r="M51" s="49"/>
      <c r="N51" s="47"/>
      <c r="O51" s="47"/>
      <c r="P51" s="47"/>
      <c r="Q51" s="47"/>
      <c r="R51" s="47"/>
    </row>
    <row r="52" spans="1:18" s="48" customFormat="1" ht="15.6" customHeight="1" x14ac:dyDescent="0.3">
      <c r="A52" s="53">
        <v>947</v>
      </c>
      <c r="B52" s="53" t="str">
        <f t="shared" si="1"/>
        <v>947PG.03.07B</v>
      </c>
      <c r="C52" s="53" t="s">
        <v>79</v>
      </c>
      <c r="D52" s="54" t="s">
        <v>17</v>
      </c>
      <c r="E52" s="79" t="s">
        <v>48</v>
      </c>
      <c r="F52" s="60"/>
      <c r="G52" s="60"/>
      <c r="H52" s="60"/>
      <c r="I52" s="60"/>
      <c r="J52" s="60"/>
      <c r="K52" s="60"/>
      <c r="L52" s="61"/>
      <c r="M52" s="46"/>
      <c r="N52" s="47"/>
      <c r="O52" s="47"/>
      <c r="P52" s="47"/>
      <c r="Q52" s="47"/>
      <c r="R52" s="47"/>
    </row>
    <row r="53" spans="1:18" s="48" customFormat="1" ht="15.6" customHeight="1" x14ac:dyDescent="0.3">
      <c r="A53" s="53">
        <v>948</v>
      </c>
      <c r="B53" s="53" t="str">
        <f t="shared" si="1"/>
        <v>948PG.03.07C</v>
      </c>
      <c r="C53" s="53" t="s">
        <v>79</v>
      </c>
      <c r="D53" s="54" t="s">
        <v>18</v>
      </c>
      <c r="E53" s="54"/>
      <c r="F53" s="60"/>
      <c r="G53" s="60"/>
      <c r="H53" s="60"/>
      <c r="I53" s="60"/>
      <c r="J53" s="60"/>
      <c r="K53" s="60"/>
      <c r="L53" s="61"/>
      <c r="M53" s="46"/>
      <c r="N53" s="47"/>
      <c r="O53" s="47"/>
      <c r="P53" s="47"/>
      <c r="Q53" s="47"/>
      <c r="R53" s="47"/>
    </row>
    <row r="54" spans="1:18" s="48" customFormat="1" ht="15.6" customHeight="1" x14ac:dyDescent="0.3">
      <c r="A54" s="53">
        <v>949</v>
      </c>
      <c r="B54" s="53" t="str">
        <f t="shared" si="1"/>
        <v>949PG.03.08B</v>
      </c>
      <c r="C54" s="53" t="s">
        <v>101</v>
      </c>
      <c r="D54" s="54" t="s">
        <v>17</v>
      </c>
      <c r="E54" s="79" t="s">
        <v>49</v>
      </c>
      <c r="F54" s="60"/>
      <c r="G54" s="60"/>
      <c r="H54" s="60"/>
      <c r="I54" s="60"/>
      <c r="J54" s="60"/>
      <c r="K54" s="60"/>
      <c r="L54" s="61"/>
      <c r="M54" s="46"/>
      <c r="N54" s="47"/>
      <c r="O54" s="47"/>
      <c r="P54" s="47"/>
      <c r="Q54" s="47"/>
      <c r="R54" s="47"/>
    </row>
    <row r="55" spans="1:18" s="48" customFormat="1" ht="15.6" customHeight="1" x14ac:dyDescent="0.3">
      <c r="A55" s="53">
        <v>950</v>
      </c>
      <c r="B55" s="53" t="str">
        <f t="shared" si="1"/>
        <v>950PG.03.08C</v>
      </c>
      <c r="C55" s="53" t="s">
        <v>101</v>
      </c>
      <c r="D55" s="54" t="s">
        <v>18</v>
      </c>
      <c r="E55" s="54"/>
      <c r="F55" s="60"/>
      <c r="G55" s="60"/>
      <c r="H55" s="60"/>
      <c r="I55" s="60"/>
      <c r="J55" s="60"/>
      <c r="K55" s="60"/>
      <c r="L55" s="71"/>
      <c r="M55" s="46"/>
      <c r="N55" s="47"/>
      <c r="O55" s="47"/>
      <c r="P55" s="47"/>
      <c r="Q55" s="47"/>
      <c r="R55" s="47"/>
    </row>
    <row r="56" spans="1:18" s="48" customFormat="1" ht="15.6" customHeight="1" x14ac:dyDescent="0.3">
      <c r="A56" s="53">
        <v>951</v>
      </c>
      <c r="B56" s="53" t="str">
        <f t="shared" si="1"/>
        <v>951PG.04.01A</v>
      </c>
      <c r="C56" s="53" t="s">
        <v>80</v>
      </c>
      <c r="D56" s="54" t="s">
        <v>16</v>
      </c>
      <c r="E56" s="34" t="s">
        <v>32</v>
      </c>
      <c r="F56" s="58"/>
      <c r="G56" s="58"/>
      <c r="H56" s="58"/>
      <c r="I56" s="58"/>
      <c r="J56" s="58"/>
      <c r="K56" s="58"/>
      <c r="L56" s="71"/>
      <c r="M56" s="46"/>
      <c r="N56" s="47"/>
      <c r="O56" s="47"/>
      <c r="P56" s="47"/>
      <c r="Q56" s="47"/>
      <c r="R56" s="47"/>
    </row>
    <row r="57" spans="1:18" s="48" customFormat="1" ht="15.6" customHeight="1" x14ac:dyDescent="0.3">
      <c r="A57" s="53">
        <v>952</v>
      </c>
      <c r="B57" s="53" t="str">
        <f t="shared" si="1"/>
        <v>952PG.04.01B</v>
      </c>
      <c r="C57" s="53" t="s">
        <v>80</v>
      </c>
      <c r="D57" s="54" t="s">
        <v>17</v>
      </c>
      <c r="E57" s="54"/>
      <c r="F57" s="58"/>
      <c r="G57" s="58"/>
      <c r="H57" s="58"/>
      <c r="I57" s="58"/>
      <c r="J57" s="58"/>
      <c r="K57" s="58"/>
      <c r="L57" s="71"/>
      <c r="M57" s="46"/>
      <c r="N57" s="47"/>
      <c r="O57" s="47"/>
      <c r="P57" s="47"/>
      <c r="Q57" s="47"/>
      <c r="R57" s="47"/>
    </row>
    <row r="58" spans="1:18" s="48" customFormat="1" ht="15.6" customHeight="1" x14ac:dyDescent="0.3">
      <c r="A58" s="53">
        <v>953</v>
      </c>
      <c r="B58" s="53" t="str">
        <f t="shared" si="1"/>
        <v>953PG.04.02A</v>
      </c>
      <c r="C58" s="53" t="s">
        <v>81</v>
      </c>
      <c r="D58" s="54" t="s">
        <v>16</v>
      </c>
      <c r="E58" s="34" t="s">
        <v>33</v>
      </c>
      <c r="F58" s="72"/>
      <c r="G58" s="58"/>
      <c r="H58" s="58"/>
      <c r="I58" s="58"/>
      <c r="J58" s="58"/>
      <c r="K58" s="58"/>
      <c r="L58" s="71"/>
      <c r="M58" s="46"/>
      <c r="N58" s="47"/>
      <c r="O58" s="47"/>
      <c r="P58" s="47"/>
      <c r="Q58" s="47"/>
      <c r="R58" s="47"/>
    </row>
    <row r="59" spans="1:18" s="48" customFormat="1" ht="15.6" customHeight="1" x14ac:dyDescent="0.3">
      <c r="A59" s="53">
        <v>954</v>
      </c>
      <c r="B59" s="53" t="str">
        <f t="shared" si="1"/>
        <v>954PG.04.02B</v>
      </c>
      <c r="C59" s="53" t="s">
        <v>81</v>
      </c>
      <c r="D59" s="54" t="s">
        <v>17</v>
      </c>
      <c r="E59" s="54"/>
      <c r="F59" s="58"/>
      <c r="G59" s="58"/>
      <c r="H59" s="58"/>
      <c r="I59" s="58"/>
      <c r="J59" s="58"/>
      <c r="K59" s="58"/>
      <c r="L59" s="71"/>
      <c r="M59" s="46"/>
      <c r="N59" s="47"/>
      <c r="O59" s="47"/>
      <c r="P59" s="47"/>
      <c r="Q59" s="47"/>
      <c r="R59" s="47"/>
    </row>
    <row r="60" spans="1:18" s="48" customFormat="1" ht="15.6" customHeight="1" x14ac:dyDescent="0.3">
      <c r="A60" s="53">
        <v>955</v>
      </c>
      <c r="B60" s="53" t="str">
        <f t="shared" si="1"/>
        <v>955PG.04.03A</v>
      </c>
      <c r="C60" s="53" t="s">
        <v>82</v>
      </c>
      <c r="D60" s="54" t="s">
        <v>16</v>
      </c>
      <c r="E60" s="34" t="s">
        <v>34</v>
      </c>
      <c r="F60" s="58"/>
      <c r="G60" s="72"/>
      <c r="H60" s="72"/>
      <c r="I60" s="72"/>
      <c r="J60" s="72"/>
      <c r="K60" s="72"/>
      <c r="L60" s="61"/>
      <c r="M60" s="46"/>
      <c r="N60" s="47"/>
      <c r="O60" s="47"/>
      <c r="P60" s="47"/>
      <c r="Q60" s="47"/>
      <c r="R60" s="47"/>
    </row>
    <row r="61" spans="1:18" s="48" customFormat="1" ht="15.6" customHeight="1" x14ac:dyDescent="0.3">
      <c r="A61" s="53">
        <v>956</v>
      </c>
      <c r="B61" s="53" t="str">
        <f t="shared" si="1"/>
        <v>956PG.04.03B</v>
      </c>
      <c r="C61" s="53" t="s">
        <v>82</v>
      </c>
      <c r="D61" s="54" t="s">
        <v>17</v>
      </c>
      <c r="E61" s="54"/>
      <c r="F61" s="58"/>
      <c r="G61" s="58"/>
      <c r="H61" s="58"/>
      <c r="I61" s="58"/>
      <c r="J61" s="58"/>
      <c r="K61" s="58"/>
      <c r="L61" s="61"/>
      <c r="M61" s="46"/>
      <c r="N61" s="47"/>
      <c r="O61" s="47"/>
      <c r="P61" s="47"/>
      <c r="Q61" s="47"/>
      <c r="R61" s="47"/>
    </row>
    <row r="62" spans="1:18" s="48" customFormat="1" ht="15.6" customHeight="1" x14ac:dyDescent="0.3">
      <c r="A62" s="53">
        <v>957</v>
      </c>
      <c r="B62" s="53" t="str">
        <f t="shared" si="1"/>
        <v>957PG.04.04B</v>
      </c>
      <c r="C62" s="53" t="s">
        <v>83</v>
      </c>
      <c r="D62" s="54" t="s">
        <v>17</v>
      </c>
      <c r="E62" s="34" t="s">
        <v>35</v>
      </c>
      <c r="F62" s="58"/>
      <c r="G62" s="58"/>
      <c r="H62" s="58"/>
      <c r="I62" s="58"/>
      <c r="J62" s="58"/>
      <c r="K62" s="58"/>
      <c r="L62" s="61"/>
      <c r="M62" s="46"/>
      <c r="N62" s="47"/>
      <c r="O62" s="47"/>
      <c r="P62" s="47"/>
      <c r="Q62" s="47"/>
      <c r="R62" s="47"/>
    </row>
    <row r="63" spans="1:18" s="48" customFormat="1" ht="15.6" customHeight="1" x14ac:dyDescent="0.3">
      <c r="A63" s="53">
        <v>958</v>
      </c>
      <c r="B63" s="53" t="str">
        <f t="shared" si="1"/>
        <v>958PG.04.04C</v>
      </c>
      <c r="C63" s="53" t="s">
        <v>83</v>
      </c>
      <c r="D63" s="54" t="s">
        <v>18</v>
      </c>
      <c r="E63" s="54"/>
      <c r="F63" s="58"/>
      <c r="G63" s="72"/>
      <c r="H63" s="72"/>
      <c r="I63" s="72"/>
      <c r="J63" s="58"/>
      <c r="K63" s="72"/>
      <c r="L63" s="61"/>
      <c r="M63" s="46"/>
      <c r="N63" s="47"/>
      <c r="O63" s="47"/>
      <c r="P63" s="47"/>
      <c r="Q63" s="47"/>
      <c r="R63" s="47"/>
    </row>
    <row r="64" spans="1:18" s="48" customFormat="1" ht="15.6" customHeight="1" x14ac:dyDescent="0.3">
      <c r="A64" s="53">
        <v>959</v>
      </c>
      <c r="B64" s="53" t="str">
        <f t="shared" si="1"/>
        <v>959PG.04.05A</v>
      </c>
      <c r="C64" s="53" t="s">
        <v>84</v>
      </c>
      <c r="D64" s="54" t="s">
        <v>16</v>
      </c>
      <c r="E64" s="34" t="s">
        <v>11</v>
      </c>
      <c r="F64" s="58"/>
      <c r="G64" s="58"/>
      <c r="H64" s="58"/>
      <c r="I64" s="58"/>
      <c r="J64" s="58"/>
      <c r="K64" s="58"/>
      <c r="L64" s="73"/>
      <c r="M64" s="50"/>
      <c r="N64" s="47"/>
      <c r="O64" s="47"/>
      <c r="P64" s="47"/>
      <c r="Q64" s="47"/>
      <c r="R64" s="47"/>
    </row>
    <row r="65" spans="1:18" s="48" customFormat="1" ht="15.6" customHeight="1" x14ac:dyDescent="0.3">
      <c r="A65" s="53">
        <v>960</v>
      </c>
      <c r="B65" s="53" t="str">
        <f t="shared" si="1"/>
        <v>960PG.04.05B</v>
      </c>
      <c r="C65" s="53" t="s">
        <v>84</v>
      </c>
      <c r="D65" s="54" t="s">
        <v>17</v>
      </c>
      <c r="E65" s="54"/>
      <c r="F65" s="58"/>
      <c r="G65" s="58"/>
      <c r="H65" s="58"/>
      <c r="I65" s="58"/>
      <c r="J65" s="58"/>
      <c r="K65" s="58"/>
      <c r="L65" s="73"/>
      <c r="M65" s="50"/>
      <c r="N65" s="47"/>
      <c r="O65" s="47"/>
      <c r="P65" s="47"/>
      <c r="Q65" s="47"/>
      <c r="R65" s="47"/>
    </row>
    <row r="66" spans="1:18" s="48" customFormat="1" ht="15.6" customHeight="1" x14ac:dyDescent="0.3">
      <c r="A66" s="53">
        <v>961</v>
      </c>
      <c r="B66" s="53" t="str">
        <f t="shared" si="1"/>
        <v>961PG.04.05C</v>
      </c>
      <c r="C66" s="53" t="s">
        <v>84</v>
      </c>
      <c r="D66" s="54" t="s">
        <v>18</v>
      </c>
      <c r="E66" s="54"/>
      <c r="F66" s="58"/>
      <c r="G66" s="58"/>
      <c r="H66" s="58"/>
      <c r="I66" s="58"/>
      <c r="J66" s="58"/>
      <c r="K66" s="58"/>
      <c r="L66" s="73"/>
      <c r="M66" s="50"/>
      <c r="N66" s="47"/>
      <c r="O66" s="47"/>
      <c r="P66" s="47"/>
      <c r="Q66" s="47"/>
      <c r="R66" s="47"/>
    </row>
    <row r="67" spans="1:18" s="48" customFormat="1" ht="15.6" customHeight="1" x14ac:dyDescent="0.3">
      <c r="A67" s="53">
        <v>962</v>
      </c>
      <c r="B67" s="53" t="str">
        <f t="shared" si="1"/>
        <v>962PG.04.06B</v>
      </c>
      <c r="C67" s="53" t="s">
        <v>85</v>
      </c>
      <c r="D67" s="54" t="s">
        <v>17</v>
      </c>
      <c r="E67" s="34" t="s">
        <v>36</v>
      </c>
      <c r="F67" s="58"/>
      <c r="G67" s="58"/>
      <c r="H67" s="58"/>
      <c r="I67" s="58"/>
      <c r="J67" s="58"/>
      <c r="K67" s="58"/>
      <c r="L67" s="71"/>
      <c r="M67" s="46"/>
      <c r="N67" s="47"/>
      <c r="O67" s="47"/>
      <c r="P67" s="47"/>
      <c r="Q67" s="47"/>
      <c r="R67" s="47"/>
    </row>
    <row r="68" spans="1:18" s="48" customFormat="1" ht="15.6" customHeight="1" x14ac:dyDescent="0.3">
      <c r="A68" s="53">
        <v>963</v>
      </c>
      <c r="B68" s="53" t="str">
        <f t="shared" si="1"/>
        <v>963PG.04.06C</v>
      </c>
      <c r="C68" s="53" t="s">
        <v>85</v>
      </c>
      <c r="D68" s="54" t="s">
        <v>18</v>
      </c>
      <c r="E68" s="54"/>
      <c r="F68" s="58"/>
      <c r="G68" s="58"/>
      <c r="H68" s="58"/>
      <c r="I68" s="58"/>
      <c r="J68" s="58"/>
      <c r="K68" s="58"/>
      <c r="L68" s="71"/>
      <c r="M68" s="46"/>
      <c r="N68" s="47"/>
      <c r="O68" s="47"/>
      <c r="P68" s="47"/>
      <c r="Q68" s="47"/>
      <c r="R68" s="47"/>
    </row>
    <row r="69" spans="1:18" s="48" customFormat="1" ht="15.6" customHeight="1" x14ac:dyDescent="0.3">
      <c r="A69" s="53">
        <v>964</v>
      </c>
      <c r="B69" s="53" t="str">
        <f t="shared" si="1"/>
        <v>964PG.04.07B</v>
      </c>
      <c r="C69" s="53" t="s">
        <v>86</v>
      </c>
      <c r="D69" s="54" t="s">
        <v>17</v>
      </c>
      <c r="E69" s="34" t="s">
        <v>21</v>
      </c>
      <c r="F69" s="58"/>
      <c r="G69" s="58"/>
      <c r="H69" s="58"/>
      <c r="I69" s="58"/>
      <c r="J69" s="58"/>
      <c r="K69" s="58"/>
      <c r="L69" s="71"/>
      <c r="M69" s="46"/>
      <c r="N69" s="47"/>
      <c r="O69" s="47"/>
      <c r="P69" s="47"/>
      <c r="Q69" s="47"/>
      <c r="R69" s="47"/>
    </row>
    <row r="70" spans="1:18" s="48" customFormat="1" ht="15.6" customHeight="1" x14ac:dyDescent="0.3">
      <c r="A70" s="53">
        <v>965</v>
      </c>
      <c r="B70" s="53" t="str">
        <f t="shared" ref="B70:B101" si="2">A70&amp;C70&amp;D70</f>
        <v>965PG.04.07C</v>
      </c>
      <c r="C70" s="53" t="s">
        <v>86</v>
      </c>
      <c r="D70" s="54" t="s">
        <v>18</v>
      </c>
      <c r="E70" s="54"/>
      <c r="F70" s="58"/>
      <c r="G70" s="58"/>
      <c r="H70" s="58"/>
      <c r="I70" s="58"/>
      <c r="J70" s="58"/>
      <c r="K70" s="72"/>
      <c r="L70" s="71"/>
      <c r="M70" s="46"/>
      <c r="N70" s="47"/>
      <c r="O70" s="47"/>
      <c r="P70" s="47"/>
      <c r="Q70" s="47"/>
      <c r="R70" s="47"/>
    </row>
    <row r="71" spans="1:18" s="48" customFormat="1" ht="15.6" customHeight="1" x14ac:dyDescent="0.3">
      <c r="A71" s="53">
        <v>966</v>
      </c>
      <c r="B71" s="53" t="str">
        <f t="shared" si="2"/>
        <v>966PG.04.08B</v>
      </c>
      <c r="C71" s="53" t="s">
        <v>87</v>
      </c>
      <c r="D71" s="54" t="s">
        <v>17</v>
      </c>
      <c r="E71" s="34" t="s">
        <v>37</v>
      </c>
      <c r="F71" s="58"/>
      <c r="G71" s="72"/>
      <c r="H71" s="72"/>
      <c r="I71" s="72"/>
      <c r="J71" s="58"/>
      <c r="K71" s="58"/>
      <c r="L71" s="61"/>
      <c r="M71" s="46"/>
      <c r="N71" s="47"/>
      <c r="O71" s="47"/>
      <c r="P71" s="47"/>
      <c r="Q71" s="47"/>
      <c r="R71" s="47"/>
    </row>
    <row r="72" spans="1:18" s="48" customFormat="1" ht="15.6" customHeight="1" x14ac:dyDescent="0.3">
      <c r="A72" s="53">
        <v>967</v>
      </c>
      <c r="B72" s="53" t="str">
        <f t="shared" si="2"/>
        <v>967PG.04.08C</v>
      </c>
      <c r="C72" s="53" t="s">
        <v>87</v>
      </c>
      <c r="D72" s="54" t="s">
        <v>18</v>
      </c>
      <c r="E72" s="54"/>
      <c r="F72" s="58"/>
      <c r="G72" s="72"/>
      <c r="H72" s="72"/>
      <c r="I72" s="72"/>
      <c r="J72" s="72"/>
      <c r="K72" s="72"/>
      <c r="L72" s="71"/>
      <c r="M72" s="46"/>
      <c r="N72" s="47"/>
      <c r="O72" s="47"/>
      <c r="P72" s="47"/>
      <c r="Q72" s="47"/>
      <c r="R72" s="47"/>
    </row>
    <row r="73" spans="1:18" s="48" customFormat="1" ht="15.6" customHeight="1" x14ac:dyDescent="0.3">
      <c r="A73" s="53">
        <v>968</v>
      </c>
      <c r="B73" s="53" t="str">
        <f t="shared" si="2"/>
        <v>968PG.05.01B</v>
      </c>
      <c r="C73" s="53" t="s">
        <v>88</v>
      </c>
      <c r="D73" s="54" t="s">
        <v>17</v>
      </c>
      <c r="E73" s="34" t="s">
        <v>38</v>
      </c>
      <c r="F73" s="58"/>
      <c r="G73" s="72"/>
      <c r="H73" s="72"/>
      <c r="I73" s="72"/>
      <c r="J73" s="60"/>
      <c r="K73" s="58"/>
      <c r="L73" s="71"/>
      <c r="M73" s="51"/>
      <c r="N73" s="47"/>
      <c r="O73" s="47"/>
      <c r="P73" s="47"/>
      <c r="Q73" s="47"/>
      <c r="R73" s="47"/>
    </row>
    <row r="74" spans="1:18" s="48" customFormat="1" ht="15.6" customHeight="1" x14ac:dyDescent="0.3">
      <c r="A74" s="53">
        <v>969</v>
      </c>
      <c r="B74" s="53" t="str">
        <f t="shared" si="2"/>
        <v>969PG.05.01B</v>
      </c>
      <c r="C74" s="53" t="s">
        <v>88</v>
      </c>
      <c r="D74" s="54" t="s">
        <v>17</v>
      </c>
      <c r="E74" s="54"/>
      <c r="F74" s="58"/>
      <c r="G74" s="58"/>
      <c r="H74" s="58"/>
      <c r="I74" s="58"/>
      <c r="J74" s="58"/>
      <c r="K74" s="58"/>
      <c r="L74" s="71"/>
      <c r="M74" s="51"/>
      <c r="N74" s="47"/>
      <c r="O74" s="47"/>
      <c r="P74" s="47"/>
      <c r="Q74" s="47"/>
      <c r="R74" s="47"/>
    </row>
    <row r="75" spans="1:18" s="48" customFormat="1" ht="15.6" customHeight="1" x14ac:dyDescent="0.3">
      <c r="A75" s="53">
        <v>970</v>
      </c>
      <c r="B75" s="53" t="str">
        <f t="shared" si="2"/>
        <v>970PG.05.01C</v>
      </c>
      <c r="C75" s="53" t="s">
        <v>88</v>
      </c>
      <c r="D75" s="54" t="s">
        <v>18</v>
      </c>
      <c r="E75" s="54"/>
      <c r="F75" s="58"/>
      <c r="G75" s="72"/>
      <c r="H75" s="72"/>
      <c r="I75" s="72"/>
      <c r="J75" s="72"/>
      <c r="K75" s="60"/>
      <c r="L75" s="71"/>
      <c r="M75" s="51"/>
      <c r="N75" s="47"/>
      <c r="O75" s="47"/>
      <c r="P75" s="47"/>
      <c r="Q75" s="47"/>
      <c r="R75" s="47"/>
    </row>
    <row r="76" spans="1:18" s="48" customFormat="1" ht="15.6" customHeight="1" x14ac:dyDescent="0.3">
      <c r="A76" s="53">
        <v>971</v>
      </c>
      <c r="B76" s="53" t="str">
        <f t="shared" si="2"/>
        <v>971PG.05.02B</v>
      </c>
      <c r="C76" s="53" t="s">
        <v>89</v>
      </c>
      <c r="D76" s="54" t="s">
        <v>17</v>
      </c>
      <c r="E76" s="34" t="s">
        <v>19</v>
      </c>
      <c r="F76" s="58"/>
      <c r="G76" s="58"/>
      <c r="H76" s="58"/>
      <c r="I76" s="58"/>
      <c r="J76" s="58"/>
      <c r="K76" s="58"/>
      <c r="L76" s="61"/>
      <c r="M76" s="51"/>
      <c r="N76" s="47"/>
      <c r="O76" s="47"/>
      <c r="P76" s="47"/>
      <c r="Q76" s="47"/>
      <c r="R76" s="47"/>
    </row>
    <row r="77" spans="1:18" s="48" customFormat="1" ht="15.6" customHeight="1" x14ac:dyDescent="0.3">
      <c r="A77" s="53">
        <v>972</v>
      </c>
      <c r="B77" s="53" t="str">
        <f t="shared" si="2"/>
        <v>972PG.05.02C</v>
      </c>
      <c r="C77" s="53" t="s">
        <v>89</v>
      </c>
      <c r="D77" s="54" t="s">
        <v>18</v>
      </c>
      <c r="E77" s="54"/>
      <c r="F77" s="58"/>
      <c r="G77" s="58"/>
      <c r="H77" s="58"/>
      <c r="I77" s="58"/>
      <c r="J77" s="58"/>
      <c r="K77" s="58"/>
      <c r="L77" s="61"/>
      <c r="M77" s="51"/>
      <c r="N77" s="47"/>
      <c r="O77" s="47"/>
      <c r="P77" s="47"/>
      <c r="Q77" s="47"/>
      <c r="R77" s="47"/>
    </row>
    <row r="78" spans="1:18" s="48" customFormat="1" ht="15.6" customHeight="1" x14ac:dyDescent="0.3">
      <c r="A78" s="53">
        <v>973</v>
      </c>
      <c r="B78" s="53" t="str">
        <f t="shared" si="2"/>
        <v>973PG.05.03A</v>
      </c>
      <c r="C78" s="53" t="s">
        <v>90</v>
      </c>
      <c r="D78" s="54" t="s">
        <v>16</v>
      </c>
      <c r="E78" s="34" t="s">
        <v>39</v>
      </c>
      <c r="F78" s="58"/>
      <c r="G78" s="58"/>
      <c r="H78" s="58"/>
      <c r="I78" s="58"/>
      <c r="J78" s="58"/>
      <c r="K78" s="58"/>
      <c r="L78" s="61"/>
      <c r="M78" s="49"/>
      <c r="N78" s="47"/>
      <c r="O78" s="47"/>
      <c r="P78" s="47"/>
      <c r="Q78" s="47"/>
      <c r="R78" s="47"/>
    </row>
    <row r="79" spans="1:18" s="48" customFormat="1" ht="15.6" customHeight="1" x14ac:dyDescent="0.3">
      <c r="A79" s="53">
        <v>974</v>
      </c>
      <c r="B79" s="53" t="str">
        <f t="shared" si="2"/>
        <v>974PG.05.03B</v>
      </c>
      <c r="C79" s="53" t="s">
        <v>90</v>
      </c>
      <c r="D79" s="54" t="s">
        <v>17</v>
      </c>
      <c r="F79" s="58"/>
      <c r="G79" s="58"/>
      <c r="H79" s="58"/>
      <c r="I79" s="58"/>
      <c r="J79" s="58"/>
      <c r="K79" s="58"/>
      <c r="L79" s="61"/>
      <c r="M79" s="49"/>
      <c r="N79" s="47"/>
      <c r="O79" s="47"/>
      <c r="P79" s="47"/>
      <c r="Q79" s="47"/>
      <c r="R79" s="47"/>
    </row>
    <row r="80" spans="1:18" s="48" customFormat="1" ht="15.6" customHeight="1" x14ac:dyDescent="0.3">
      <c r="A80" s="53">
        <v>975</v>
      </c>
      <c r="B80" s="53" t="str">
        <f t="shared" si="2"/>
        <v>975PG.05.04A</v>
      </c>
      <c r="C80" s="53" t="s">
        <v>91</v>
      </c>
      <c r="D80" s="54" t="s">
        <v>16</v>
      </c>
      <c r="E80" s="34" t="s">
        <v>40</v>
      </c>
      <c r="F80" s="58"/>
      <c r="G80" s="58"/>
      <c r="H80" s="58"/>
      <c r="I80" s="58"/>
      <c r="J80" s="58"/>
      <c r="K80" s="58"/>
      <c r="L80" s="61"/>
      <c r="M80" s="46"/>
      <c r="N80" s="47"/>
      <c r="O80" s="47"/>
      <c r="P80" s="47"/>
      <c r="Q80" s="47"/>
      <c r="R80" s="47"/>
    </row>
    <row r="81" spans="1:18" s="48" customFormat="1" ht="15.6" customHeight="1" x14ac:dyDescent="0.3">
      <c r="A81" s="53">
        <v>976</v>
      </c>
      <c r="B81" s="53" t="str">
        <f t="shared" si="2"/>
        <v>976PG.05.04B</v>
      </c>
      <c r="C81" s="53" t="s">
        <v>91</v>
      </c>
      <c r="D81" s="54" t="s">
        <v>17</v>
      </c>
      <c r="E81" s="54"/>
      <c r="F81" s="58"/>
      <c r="G81" s="58"/>
      <c r="H81" s="58"/>
      <c r="I81" s="58"/>
      <c r="J81" s="58"/>
      <c r="K81" s="58"/>
      <c r="L81" s="61"/>
      <c r="M81" s="46"/>
      <c r="N81" s="47"/>
      <c r="O81" s="47"/>
      <c r="P81" s="47"/>
      <c r="Q81" s="47"/>
      <c r="R81" s="47"/>
    </row>
    <row r="82" spans="1:18" s="48" customFormat="1" ht="15.6" customHeight="1" x14ac:dyDescent="0.3">
      <c r="A82" s="53">
        <v>977</v>
      </c>
      <c r="B82" s="53" t="str">
        <f t="shared" si="2"/>
        <v>977PG.05.05B</v>
      </c>
      <c r="C82" s="53" t="s">
        <v>92</v>
      </c>
      <c r="D82" s="54" t="s">
        <v>17</v>
      </c>
      <c r="E82" s="34" t="s">
        <v>41</v>
      </c>
      <c r="F82" s="58"/>
      <c r="G82" s="58"/>
      <c r="H82" s="58"/>
      <c r="I82" s="58"/>
      <c r="J82" s="58"/>
      <c r="K82" s="58"/>
      <c r="L82" s="61"/>
      <c r="M82" s="46"/>
      <c r="N82" s="47"/>
      <c r="O82" s="47"/>
      <c r="P82" s="47"/>
      <c r="Q82" s="47"/>
      <c r="R82" s="47"/>
    </row>
    <row r="83" spans="1:18" s="48" customFormat="1" ht="15.6" customHeight="1" x14ac:dyDescent="0.3">
      <c r="A83" s="53">
        <v>978</v>
      </c>
      <c r="B83" s="53" t="str">
        <f t="shared" si="2"/>
        <v>978PG.05.05C</v>
      </c>
      <c r="C83" s="53" t="s">
        <v>92</v>
      </c>
      <c r="D83" s="54" t="s">
        <v>18</v>
      </c>
      <c r="E83" s="54"/>
      <c r="F83" s="58"/>
      <c r="G83" s="58"/>
      <c r="H83" s="58"/>
      <c r="I83" s="58"/>
      <c r="J83" s="58"/>
      <c r="K83" s="58"/>
      <c r="L83" s="61"/>
      <c r="M83" s="46"/>
      <c r="N83" s="47"/>
      <c r="O83" s="47"/>
      <c r="P83" s="47"/>
      <c r="Q83" s="47"/>
      <c r="R83" s="47"/>
    </row>
    <row r="84" spans="1:18" s="48" customFormat="1" ht="15.6" customHeight="1" x14ac:dyDescent="0.3">
      <c r="A84" s="53">
        <v>979</v>
      </c>
      <c r="B84" s="53" t="str">
        <f t="shared" si="2"/>
        <v>979PG.05.06B</v>
      </c>
      <c r="C84" s="53" t="s">
        <v>93</v>
      </c>
      <c r="D84" s="54" t="s">
        <v>17</v>
      </c>
      <c r="E84" s="34" t="s">
        <v>10</v>
      </c>
      <c r="F84" s="58"/>
      <c r="G84" s="58"/>
      <c r="H84" s="58"/>
      <c r="I84" s="58"/>
      <c r="J84" s="58"/>
      <c r="K84" s="58"/>
      <c r="L84" s="61"/>
      <c r="M84" s="46"/>
      <c r="N84" s="47"/>
      <c r="O84" s="47"/>
      <c r="P84" s="47"/>
      <c r="Q84" s="47"/>
      <c r="R84" s="47"/>
    </row>
    <row r="85" spans="1:18" s="48" customFormat="1" ht="15.6" customHeight="1" x14ac:dyDescent="0.3">
      <c r="A85" s="53">
        <v>980</v>
      </c>
      <c r="B85" s="53" t="str">
        <f t="shared" si="2"/>
        <v>980PG.05.06B</v>
      </c>
      <c r="C85" s="53" t="s">
        <v>93</v>
      </c>
      <c r="D85" s="54" t="s">
        <v>17</v>
      </c>
      <c r="E85" s="54"/>
      <c r="F85" s="58"/>
      <c r="G85" s="58"/>
      <c r="H85" s="58"/>
      <c r="I85" s="58"/>
      <c r="J85" s="58"/>
      <c r="K85" s="58"/>
      <c r="L85" s="61"/>
      <c r="M85" s="46"/>
      <c r="N85" s="47"/>
      <c r="O85" s="47"/>
      <c r="P85" s="47"/>
      <c r="Q85" s="47"/>
      <c r="R85" s="47"/>
    </row>
    <row r="86" spans="1:18" s="48" customFormat="1" ht="15.6" customHeight="1" x14ac:dyDescent="0.3">
      <c r="A86" s="53">
        <v>981</v>
      </c>
      <c r="B86" s="53" t="str">
        <f t="shared" si="2"/>
        <v>981PG.05.07A</v>
      </c>
      <c r="C86" s="53" t="s">
        <v>102</v>
      </c>
      <c r="D86" s="54" t="s">
        <v>16</v>
      </c>
      <c r="E86" s="34" t="s">
        <v>43</v>
      </c>
      <c r="F86" s="58"/>
      <c r="G86" s="58"/>
      <c r="H86" s="58"/>
      <c r="I86" s="58"/>
      <c r="J86" s="58"/>
      <c r="K86" s="58"/>
      <c r="L86" s="61"/>
      <c r="M86" s="46"/>
      <c r="N86" s="47"/>
      <c r="O86" s="47"/>
      <c r="P86" s="47"/>
      <c r="Q86" s="47"/>
      <c r="R86" s="47"/>
    </row>
    <row r="87" spans="1:18" s="48" customFormat="1" ht="15.6" customHeight="1" x14ac:dyDescent="0.3">
      <c r="A87" s="53">
        <v>982</v>
      </c>
      <c r="B87" s="53" t="str">
        <f t="shared" si="2"/>
        <v>982PG.05.07B</v>
      </c>
      <c r="C87" s="53" t="s">
        <v>102</v>
      </c>
      <c r="D87" s="54" t="s">
        <v>17</v>
      </c>
      <c r="E87" s="54"/>
      <c r="F87" s="58"/>
      <c r="G87" s="58"/>
      <c r="H87" s="58"/>
      <c r="I87" s="58"/>
      <c r="J87" s="58"/>
      <c r="K87" s="58"/>
      <c r="L87" s="61"/>
      <c r="M87" s="46"/>
      <c r="N87" s="47"/>
      <c r="O87" s="47"/>
      <c r="P87" s="47"/>
      <c r="Q87" s="47"/>
      <c r="R87" s="47"/>
    </row>
    <row r="88" spans="1:18" s="48" customFormat="1" ht="15.6" customHeight="1" x14ac:dyDescent="0.3">
      <c r="A88" s="53">
        <v>983</v>
      </c>
      <c r="B88" s="53" t="str">
        <f t="shared" si="2"/>
        <v>983PG.05.08A</v>
      </c>
      <c r="C88" s="53" t="s">
        <v>103</v>
      </c>
      <c r="D88" s="54" t="s">
        <v>16</v>
      </c>
      <c r="E88" s="34" t="s">
        <v>42</v>
      </c>
      <c r="F88" s="58"/>
      <c r="G88" s="58"/>
      <c r="H88" s="58"/>
      <c r="I88" s="58"/>
      <c r="J88" s="58"/>
      <c r="K88" s="58"/>
      <c r="L88" s="61"/>
      <c r="M88" s="46"/>
      <c r="N88" s="47"/>
      <c r="O88" s="47"/>
      <c r="P88" s="47"/>
      <c r="Q88" s="47"/>
      <c r="R88" s="47"/>
    </row>
    <row r="89" spans="1:18" s="48" customFormat="1" ht="15.6" customHeight="1" x14ac:dyDescent="0.3">
      <c r="A89" s="53">
        <v>984</v>
      </c>
      <c r="B89" s="53" t="str">
        <f t="shared" si="2"/>
        <v>984PG.05.08B</v>
      </c>
      <c r="C89" s="53" t="s">
        <v>103</v>
      </c>
      <c r="D89" s="54" t="s">
        <v>17</v>
      </c>
      <c r="E89" s="54"/>
      <c r="F89" s="58"/>
      <c r="G89" s="58"/>
      <c r="H89" s="58"/>
      <c r="I89" s="58"/>
      <c r="J89" s="58"/>
      <c r="K89" s="58"/>
      <c r="L89" s="61"/>
      <c r="M89" s="49"/>
      <c r="N89" s="47"/>
      <c r="O89" s="47"/>
      <c r="P89" s="47"/>
      <c r="Q89" s="47"/>
      <c r="R89" s="47"/>
    </row>
    <row r="90" spans="1:18" s="48" customFormat="1" ht="15.6" customHeight="1" x14ac:dyDescent="0.3">
      <c r="A90" s="53">
        <v>985</v>
      </c>
      <c r="B90" s="53" t="str">
        <f t="shared" si="2"/>
        <v>985PG.06.01B</v>
      </c>
      <c r="C90" s="53" t="s">
        <v>94</v>
      </c>
      <c r="D90" s="54" t="s">
        <v>17</v>
      </c>
      <c r="E90" s="34" t="s">
        <v>13</v>
      </c>
      <c r="F90" s="58"/>
      <c r="G90" s="58"/>
      <c r="H90" s="58"/>
      <c r="I90" s="58"/>
      <c r="J90" s="58"/>
      <c r="K90" s="58"/>
      <c r="L90" s="61"/>
      <c r="M90" s="46"/>
      <c r="N90" s="47"/>
      <c r="O90" s="47"/>
      <c r="P90" s="47"/>
      <c r="Q90" s="47"/>
      <c r="R90" s="47"/>
    </row>
    <row r="91" spans="1:18" s="48" customFormat="1" ht="15.6" customHeight="1" x14ac:dyDescent="0.3">
      <c r="A91" s="53">
        <v>986</v>
      </c>
      <c r="B91" s="53" t="str">
        <f t="shared" si="2"/>
        <v>986PG.06.01C</v>
      </c>
      <c r="C91" s="53" t="s">
        <v>94</v>
      </c>
      <c r="D91" s="54" t="s">
        <v>18</v>
      </c>
      <c r="E91" s="54"/>
      <c r="F91" s="58"/>
      <c r="G91" s="58"/>
      <c r="H91" s="58"/>
      <c r="I91" s="58"/>
      <c r="J91" s="58"/>
      <c r="K91" s="58"/>
      <c r="L91" s="61"/>
      <c r="M91" s="46"/>
      <c r="N91" s="47"/>
      <c r="O91" s="47"/>
      <c r="P91" s="47"/>
      <c r="Q91" s="47"/>
      <c r="R91" s="47"/>
    </row>
    <row r="92" spans="1:18" s="48" customFormat="1" ht="15.6" customHeight="1" x14ac:dyDescent="0.3">
      <c r="A92" s="53">
        <v>987</v>
      </c>
      <c r="B92" s="53" t="str">
        <f t="shared" si="2"/>
        <v>987PG.06.02B</v>
      </c>
      <c r="C92" s="53" t="s">
        <v>95</v>
      </c>
      <c r="D92" s="54" t="s">
        <v>17</v>
      </c>
      <c r="E92" s="34" t="s">
        <v>44</v>
      </c>
      <c r="F92" s="56"/>
      <c r="G92" s="58"/>
      <c r="H92" s="58"/>
      <c r="I92" s="58"/>
      <c r="J92" s="58"/>
      <c r="K92" s="58"/>
      <c r="L92" s="61"/>
      <c r="M92" s="46"/>
      <c r="N92" s="47"/>
      <c r="O92" s="47"/>
      <c r="P92" s="47"/>
      <c r="Q92" s="47"/>
      <c r="R92" s="47"/>
    </row>
    <row r="93" spans="1:18" s="48" customFormat="1" ht="15.6" customHeight="1" x14ac:dyDescent="0.3">
      <c r="A93" s="53">
        <v>988</v>
      </c>
      <c r="B93" s="53" t="str">
        <f t="shared" si="2"/>
        <v>988PG.06.02C</v>
      </c>
      <c r="C93" s="53" t="s">
        <v>95</v>
      </c>
      <c r="D93" s="54" t="s">
        <v>18</v>
      </c>
      <c r="E93" s="54"/>
      <c r="F93" s="74"/>
      <c r="G93" s="58"/>
      <c r="H93" s="58"/>
      <c r="I93" s="58"/>
      <c r="J93" s="58"/>
      <c r="K93" s="58"/>
      <c r="L93" s="61"/>
      <c r="M93" s="46"/>
      <c r="N93" s="47"/>
      <c r="O93" s="47"/>
      <c r="P93" s="47"/>
      <c r="Q93" s="47"/>
      <c r="R93" s="47"/>
    </row>
    <row r="94" spans="1:18" s="48" customFormat="1" ht="15.6" customHeight="1" x14ac:dyDescent="0.3">
      <c r="A94" s="53">
        <v>989</v>
      </c>
      <c r="B94" s="53" t="str">
        <f t="shared" si="2"/>
        <v>989PG.06.03A</v>
      </c>
      <c r="C94" s="53" t="s">
        <v>96</v>
      </c>
      <c r="D94" s="54" t="s">
        <v>16</v>
      </c>
      <c r="E94" s="34" t="s">
        <v>14</v>
      </c>
      <c r="F94" s="58"/>
      <c r="G94" s="58"/>
      <c r="H94" s="58"/>
      <c r="I94" s="58"/>
      <c r="J94" s="58"/>
      <c r="K94" s="58"/>
      <c r="L94" s="61"/>
      <c r="M94" s="49"/>
      <c r="N94" s="47"/>
      <c r="O94" s="47"/>
      <c r="P94" s="47"/>
      <c r="Q94" s="47"/>
      <c r="R94" s="47"/>
    </row>
    <row r="95" spans="1:18" s="48" customFormat="1" ht="15.6" customHeight="1" x14ac:dyDescent="0.3">
      <c r="A95" s="53">
        <v>990</v>
      </c>
      <c r="B95" s="53" t="str">
        <f t="shared" si="2"/>
        <v>990PG.06.03B</v>
      </c>
      <c r="C95" s="53" t="s">
        <v>96</v>
      </c>
      <c r="D95" s="54" t="s">
        <v>17</v>
      </c>
      <c r="E95" s="78"/>
      <c r="F95" s="75"/>
      <c r="G95" s="58"/>
      <c r="H95" s="58"/>
      <c r="I95" s="58"/>
      <c r="J95" s="58"/>
      <c r="K95" s="58"/>
      <c r="L95" s="61"/>
      <c r="M95" s="46"/>
      <c r="N95" s="47"/>
      <c r="O95" s="47"/>
      <c r="P95" s="47"/>
      <c r="Q95" s="47"/>
      <c r="R95" s="47"/>
    </row>
    <row r="96" spans="1:18" s="48" customFormat="1" ht="15.6" customHeight="1" x14ac:dyDescent="0.3">
      <c r="A96" s="53">
        <v>991</v>
      </c>
      <c r="B96" s="53" t="str">
        <f t="shared" si="2"/>
        <v>991PG.06.04A</v>
      </c>
      <c r="C96" s="53" t="s">
        <v>97</v>
      </c>
      <c r="D96" s="54" t="s">
        <v>16</v>
      </c>
      <c r="E96" s="34" t="s">
        <v>15</v>
      </c>
      <c r="F96" s="58"/>
      <c r="G96" s="58"/>
      <c r="H96" s="58"/>
      <c r="I96" s="58"/>
      <c r="J96" s="58"/>
      <c r="K96" s="76"/>
      <c r="L96" s="61"/>
      <c r="M96" s="46"/>
      <c r="N96" s="47"/>
      <c r="O96" s="47"/>
      <c r="P96" s="47"/>
      <c r="Q96" s="47"/>
      <c r="R96" s="47"/>
    </row>
    <row r="97" spans="1:18" s="48" customFormat="1" ht="15.6" customHeight="1" x14ac:dyDescent="0.3">
      <c r="A97" s="53">
        <v>992</v>
      </c>
      <c r="B97" s="53" t="str">
        <f t="shared" si="2"/>
        <v>992PG.06.04B</v>
      </c>
      <c r="C97" s="53" t="s">
        <v>97</v>
      </c>
      <c r="D97" s="54" t="s">
        <v>17</v>
      </c>
      <c r="E97" s="54"/>
      <c r="F97" s="58"/>
      <c r="G97" s="58"/>
      <c r="H97" s="58"/>
      <c r="I97" s="58"/>
      <c r="J97" s="76"/>
      <c r="K97" s="58"/>
      <c r="L97" s="61"/>
      <c r="M97" s="49"/>
      <c r="N97" s="47"/>
      <c r="O97" s="47"/>
      <c r="P97" s="47"/>
      <c r="Q97" s="47"/>
      <c r="R97" s="47"/>
    </row>
    <row r="98" spans="1:18" s="48" customFormat="1" ht="15.6" customHeight="1" x14ac:dyDescent="0.3">
      <c r="A98" s="53">
        <v>993</v>
      </c>
      <c r="B98" s="53" t="str">
        <f t="shared" si="2"/>
        <v>993PG.06.05A</v>
      </c>
      <c r="C98" s="53" t="s">
        <v>98</v>
      </c>
      <c r="D98" s="54" t="s">
        <v>16</v>
      </c>
      <c r="E98" s="34" t="s">
        <v>45</v>
      </c>
      <c r="F98" s="58"/>
      <c r="G98" s="58"/>
      <c r="H98" s="58"/>
      <c r="I98" s="58"/>
      <c r="J98" s="58"/>
      <c r="K98" s="58"/>
      <c r="L98" s="61"/>
      <c r="M98" s="46"/>
      <c r="N98" s="47"/>
      <c r="O98" s="47"/>
      <c r="P98" s="47"/>
      <c r="Q98" s="47"/>
      <c r="R98" s="47"/>
    </row>
    <row r="99" spans="1:18" s="48" customFormat="1" ht="15.6" customHeight="1" x14ac:dyDescent="0.3">
      <c r="A99" s="53">
        <v>994</v>
      </c>
      <c r="B99" s="53" t="str">
        <f t="shared" si="2"/>
        <v>994PG.06.05B</v>
      </c>
      <c r="C99" s="53" t="s">
        <v>98</v>
      </c>
      <c r="D99" s="54" t="s">
        <v>17</v>
      </c>
      <c r="E99" s="54"/>
      <c r="F99" s="58"/>
      <c r="G99" s="59"/>
      <c r="H99" s="59"/>
      <c r="I99" s="59"/>
      <c r="J99" s="77"/>
      <c r="K99" s="59"/>
      <c r="L99" s="61"/>
      <c r="M99" s="46"/>
      <c r="N99" s="47"/>
      <c r="O99" s="47"/>
      <c r="P99" s="47"/>
      <c r="Q99" s="47"/>
      <c r="R99" s="47"/>
    </row>
    <row r="100" spans="1:18" s="48" customFormat="1" ht="15.6" customHeight="1" x14ac:dyDescent="0.3">
      <c r="A100" s="53">
        <v>995</v>
      </c>
      <c r="B100" s="53" t="str">
        <f t="shared" si="2"/>
        <v>995PG.06.06A</v>
      </c>
      <c r="C100" s="53" t="s">
        <v>104</v>
      </c>
      <c r="D100" s="54" t="s">
        <v>16</v>
      </c>
      <c r="E100" s="34" t="s">
        <v>20</v>
      </c>
      <c r="F100" s="74"/>
      <c r="G100" s="58"/>
      <c r="H100" s="58"/>
      <c r="I100" s="58"/>
      <c r="J100" s="58"/>
      <c r="K100" s="58"/>
      <c r="L100" s="71"/>
      <c r="M100" s="46"/>
      <c r="N100" s="47"/>
      <c r="O100" s="47"/>
      <c r="P100" s="47"/>
      <c r="Q100" s="47"/>
      <c r="R100" s="47"/>
    </row>
    <row r="101" spans="1:18" s="48" customFormat="1" ht="15.6" customHeight="1" x14ac:dyDescent="0.3">
      <c r="A101" s="53">
        <v>996</v>
      </c>
      <c r="B101" s="53" t="str">
        <f t="shared" si="2"/>
        <v>996PG.06.06B</v>
      </c>
      <c r="C101" s="53" t="s">
        <v>104</v>
      </c>
      <c r="D101" s="54" t="s">
        <v>17</v>
      </c>
      <c r="E101" s="54"/>
      <c r="F101" s="58"/>
      <c r="G101" s="58"/>
      <c r="H101" s="58"/>
      <c r="I101" s="58"/>
      <c r="J101" s="58"/>
      <c r="K101" s="58"/>
      <c r="L101" s="71"/>
      <c r="M101" s="46"/>
      <c r="N101" s="47"/>
      <c r="O101" s="47"/>
      <c r="P101" s="47"/>
      <c r="Q101" s="47"/>
      <c r="R101" s="47"/>
    </row>
    <row r="102" spans="1:18" s="48" customFormat="1" ht="15.6" customHeight="1" x14ac:dyDescent="0.3">
      <c r="A102" s="53">
        <v>997</v>
      </c>
      <c r="B102" s="53" t="str">
        <f t="shared" ref="B102:B105" si="3">A102&amp;C102&amp;D102</f>
        <v>997PG.06.07A</v>
      </c>
      <c r="C102" s="53" t="s">
        <v>105</v>
      </c>
      <c r="D102" s="54" t="s">
        <v>16</v>
      </c>
      <c r="E102" s="34" t="s">
        <v>1</v>
      </c>
      <c r="F102" s="58"/>
      <c r="G102" s="58"/>
      <c r="H102" s="58"/>
      <c r="I102" s="58"/>
      <c r="J102" s="58"/>
      <c r="K102" s="58"/>
      <c r="L102" s="71"/>
      <c r="M102" s="46"/>
      <c r="N102" s="47"/>
      <c r="O102" s="47"/>
      <c r="P102" s="47"/>
      <c r="Q102" s="47"/>
      <c r="R102" s="47"/>
    </row>
    <row r="103" spans="1:18" s="48" customFormat="1" ht="15.6" customHeight="1" x14ac:dyDescent="0.3">
      <c r="A103" s="53">
        <v>998</v>
      </c>
      <c r="B103" s="53" t="str">
        <f t="shared" si="3"/>
        <v>998PG.06.07B</v>
      </c>
      <c r="C103" s="53" t="s">
        <v>105</v>
      </c>
      <c r="D103" s="54" t="s">
        <v>17</v>
      </c>
      <c r="E103" s="54"/>
      <c r="F103" s="58"/>
      <c r="G103" s="58"/>
      <c r="H103" s="58"/>
      <c r="I103" s="58"/>
      <c r="J103" s="58"/>
      <c r="K103" s="58"/>
      <c r="L103" s="71"/>
      <c r="M103" s="46"/>
      <c r="N103" s="47"/>
      <c r="O103" s="47"/>
      <c r="P103" s="47"/>
      <c r="Q103" s="47"/>
      <c r="R103" s="47"/>
    </row>
    <row r="104" spans="1:18" s="48" customFormat="1" ht="15.6" customHeight="1" x14ac:dyDescent="0.3">
      <c r="A104" s="53">
        <v>999</v>
      </c>
      <c r="B104" s="53" t="str">
        <f t="shared" si="3"/>
        <v>999PG.06.08A</v>
      </c>
      <c r="C104" s="53" t="s">
        <v>106</v>
      </c>
      <c r="D104" s="54" t="s">
        <v>16</v>
      </c>
      <c r="E104" s="34" t="s">
        <v>2</v>
      </c>
      <c r="F104" s="58"/>
      <c r="G104" s="58"/>
      <c r="H104" s="58"/>
      <c r="I104" s="58"/>
      <c r="J104" s="58"/>
      <c r="K104" s="58"/>
      <c r="L104" s="71"/>
      <c r="M104" s="46"/>
      <c r="N104" s="47"/>
      <c r="O104" s="47"/>
      <c r="P104" s="47"/>
      <c r="Q104" s="47"/>
      <c r="R104" s="47"/>
    </row>
    <row r="105" spans="1:18" s="48" customFormat="1" ht="15.6" customHeight="1" x14ac:dyDescent="0.3">
      <c r="A105" s="53">
        <v>1000</v>
      </c>
      <c r="B105" s="53" t="str">
        <f t="shared" si="3"/>
        <v>1000PG.06.08B</v>
      </c>
      <c r="C105" s="53" t="s">
        <v>106</v>
      </c>
      <c r="D105" s="54" t="s">
        <v>17</v>
      </c>
      <c r="E105" s="54"/>
      <c r="F105" s="58"/>
      <c r="G105" s="58"/>
      <c r="H105" s="58"/>
      <c r="I105" s="58"/>
      <c r="J105" s="58"/>
      <c r="K105" s="58"/>
      <c r="L105" s="71"/>
      <c r="M105" s="46"/>
      <c r="N105" s="47"/>
      <c r="O105" s="47"/>
      <c r="P105" s="47"/>
      <c r="Q105" s="47"/>
      <c r="R105" s="47"/>
    </row>
  </sheetData>
  <mergeCells count="1">
    <mergeCell ref="A1:R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Specification</vt:lpstr>
      <vt:lpstr>Bank</vt:lpstr>
      <vt:lpstr>100-Template</vt:lpstr>
    </vt:vector>
  </TitlesOfParts>
  <Company>SPecialiST RePack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2024-02-03T06:12:51Z</cp:lastPrinted>
  <dcterms:created xsi:type="dcterms:W3CDTF">2024-02-03T04:20:06Z</dcterms:created>
  <dcterms:modified xsi:type="dcterms:W3CDTF">2026-04-29T03:46:40Z</dcterms:modified>
</cp:coreProperties>
</file>